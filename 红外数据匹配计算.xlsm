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8ee0a0080dc455a/A宏文件/VBA学习/Excel/"/>
    </mc:Choice>
  </mc:AlternateContent>
  <xr:revisionPtr revIDLastSave="3522" documentId="11_7ACB3AED8B485FD9939FA90481461B9B78852752" xr6:coauthVersionLast="47" xr6:coauthVersionMax="47" xr10:uidLastSave="{5F3502E1-8E89-4DBC-B325-383BE09D6FEE}"/>
  <bookViews>
    <workbookView xWindow="2436" yWindow="3228" windowWidth="14700" windowHeight="13788" xr2:uid="{00000000-000D-0000-FFFF-FFFF00000000}"/>
  </bookViews>
  <sheets>
    <sheet name="红外数据匹配计算面积占比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5" i="1" l="1"/>
</calcChain>
</file>

<file path=xl/sharedStrings.xml><?xml version="1.0" encoding="utf-8"?>
<sst xmlns="http://schemas.openxmlformats.org/spreadsheetml/2006/main" count="55" uniqueCount="27">
  <si>
    <t>β折叠</t>
    <phoneticPr fontId="2" type="noConversion"/>
  </si>
  <si>
    <t>无规则卷曲</t>
  </si>
  <si>
    <t>α螺旋</t>
  </si>
  <si>
    <t>β转角</t>
    <phoneticPr fontId="2" type="noConversion"/>
  </si>
  <si>
    <t>区分规则</t>
    <phoneticPr fontId="2" type="noConversion"/>
  </si>
  <si>
    <r>
      <t xml:space="preserve">Peakfit分析后，对导出的峰信息进行使用。
</t>
    </r>
    <r>
      <rPr>
        <b/>
        <sz val="16"/>
        <color theme="1"/>
        <rFont val="等线"/>
        <family val="3"/>
        <charset val="134"/>
        <scheme val="minor"/>
      </rPr>
      <t>区分规则可以自己修改，具体参考文献。</t>
    </r>
    <phoneticPr fontId="2" type="noConversion"/>
  </si>
  <si>
    <t>Area</t>
  </si>
  <si>
    <t>Amplitude</t>
  </si>
  <si>
    <t>Center</t>
  </si>
  <si>
    <t>Width</t>
  </si>
  <si>
    <t>示例</t>
    <phoneticPr fontId="2" type="noConversion"/>
  </si>
  <si>
    <t>类型</t>
    <phoneticPr fontId="2" type="noConversion"/>
  </si>
  <si>
    <t>面积占比</t>
    <phoneticPr fontId="2" type="noConversion"/>
  </si>
  <si>
    <t>面积汇总</t>
    <phoneticPr fontId="2" type="noConversion"/>
  </si>
  <si>
    <t>Peak</t>
  </si>
  <si>
    <t>Type</t>
  </si>
  <si>
    <t>Anlytc Area</t>
  </si>
  <si>
    <t>% Area</t>
  </si>
  <si>
    <t>Int Area</t>
  </si>
  <si>
    <t>Centroid</t>
  </si>
  <si>
    <t>Moment2</t>
  </si>
  <si>
    <t>Gauss</t>
  </si>
  <si>
    <t>Amp</t>
  </si>
  <si>
    <t>β折叠</t>
  </si>
  <si>
    <t>β转角</t>
  </si>
  <si>
    <t>Total</t>
  </si>
  <si>
    <t xml:space="preserve">    8  Gauss Amp   0.04831315  2.41703553  0.04761160  2.39009271  1684.45232  39.2549795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</si>
</sst>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000000"/>
      <name val="等线"/>
      <family val="3"/>
      <charset val="134"/>
    </font>
    <font>
      <b/>
      <sz val="16"/>
      <color theme="1"/>
      <name val="等线"/>
      <family val="3"/>
      <charset val="134"/>
      <scheme val="minor"/>
    </font>
    <font>
      <sz val="11"/>
      <color rgb="FFFF000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>
      <alignment vertical="center"/>
    </xf>
  </cellStyleXfs>
  <cellXfs count="24">
    <xf numFmtId="0" fontId="0" fillId="0" borderId="0" xfId="0"/>
    <xf numFmtId="0" fontId="1" fillId="2" borderId="6" xfId="1" applyBorder="1" applyAlignment="1"/>
    <xf numFmtId="0" fontId="1" fillId="2" borderId="8" xfId="1" applyBorder="1" applyAlignment="1"/>
    <xf numFmtId="0" fontId="1" fillId="2" borderId="10" xfId="1" applyBorder="1" applyAlignment="1"/>
    <xf numFmtId="0" fontId="0" fillId="0" borderId="0" xfId="0" applyProtection="1">
      <protection locked="0"/>
    </xf>
    <xf numFmtId="0" fontId="1" fillId="2" borderId="6" xfId="1" applyBorder="1" applyAlignment="1" applyProtection="1"/>
    <xf numFmtId="0" fontId="1" fillId="2" borderId="8" xfId="1" applyBorder="1" applyAlignment="1" applyProtection="1"/>
    <xf numFmtId="0" fontId="1" fillId="2" borderId="10" xfId="1" applyBorder="1" applyAlignment="1" applyProtection="1"/>
    <xf numFmtId="0" fontId="6" fillId="0" borderId="1" xfId="0" applyFont="1" applyBorder="1"/>
    <xf numFmtId="0" fontId="1" fillId="2" borderId="7" xfId="1" applyBorder="1" applyAlignment="1" applyProtection="1">
      <alignment horizontal="center"/>
    </xf>
    <xf numFmtId="0" fontId="1" fillId="2" borderId="9" xfId="1" applyBorder="1" applyAlignment="1" applyProtection="1">
      <alignment horizontal="center"/>
    </xf>
    <xf numFmtId="0" fontId="1" fillId="2" borderId="11" xfId="1" applyBorder="1" applyAlignment="1" applyProtection="1">
      <alignment horizontal="center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9" xfId="1" applyBorder="1" applyAlignment="1">
      <alignment horizontal="center"/>
    </xf>
    <xf numFmtId="0" fontId="1" fillId="2" borderId="11" xfId="1" applyBorder="1" applyAlignment="1">
      <alignment horizontal="center"/>
    </xf>
    <xf numFmtId="11" fontId="0" fillId="0" borderId="0" xfId="0" applyNumberFormat="1"/>
  </cellXfs>
  <cellStyles count="2">
    <cellStyle name="常规" xfId="0" builtinId="0"/>
    <cellStyle name="好" xfId="1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</xdr:colOff>
          <xdr:row>1</xdr:row>
          <xdr:rowOff>38100</xdr:rowOff>
        </xdr:from>
        <xdr:to>
          <xdr:col>11</xdr:col>
          <xdr:colOff>137160</xdr:colOff>
          <xdr:row>2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处理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586740</xdr:colOff>
          <xdr:row>4</xdr:row>
          <xdr:rowOff>22860</xdr:rowOff>
        </xdr:from>
        <xdr:to>
          <xdr:col>11</xdr:col>
          <xdr:colOff>213360</xdr:colOff>
          <xdr:row>6</xdr:row>
          <xdr:rowOff>45720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删除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Q24"/>
  <sheetViews>
    <sheetView tabSelected="1" workbookViewId="0">
      <selection activeCell="H9" sqref="F2:H9"/>
    </sheetView>
  </sheetViews>
  <sheetFormatPr defaultRowHeight="13.8" x14ac:dyDescent="0.25"/>
  <cols>
    <col min="1" max="5" width="8.88671875" style="4"/>
    <col min="6" max="6" width="11.109375" style="4" customWidth="1"/>
    <col min="7" max="16384" width="8.88671875" style="4"/>
  </cols>
  <sheetData>
    <row r="1" spans="1:17" ht="14.4" thickBot="1" x14ac:dyDescent="0.3">
      <c r="A1" s="8" t="s">
        <v>10</v>
      </c>
      <c r="B1" t="s">
        <v>6</v>
      </c>
      <c r="C1" t="s">
        <v>7</v>
      </c>
      <c r="D1" t="s">
        <v>8</v>
      </c>
      <c r="E1" t="s">
        <v>9</v>
      </c>
      <c r="F1" s="4" t="s">
        <v>11</v>
      </c>
      <c r="G1" s="4" t="s">
        <v>12</v>
      </c>
      <c r="H1" s="4" t="s">
        <v>13</v>
      </c>
    </row>
    <row r="2" spans="1:17" x14ac:dyDescent="0.25">
      <c r="B2" s="4">
        <v>2.5862E-2</v>
      </c>
      <c r="C2" s="4">
        <v>1.1739117699999999</v>
      </c>
      <c r="D2" s="4">
        <v>1609.7582</v>
      </c>
      <c r="F2" s="4" t="s">
        <v>23</v>
      </c>
      <c r="G2" s="4">
        <v>1.1739116523313982E-2</v>
      </c>
    </row>
    <row r="3" spans="1:17" x14ac:dyDescent="0.25">
      <c r="B3" s="4">
        <v>0.15369798000000001</v>
      </c>
      <c r="C3" s="4">
        <v>6.9765622299999999</v>
      </c>
      <c r="D3" s="4">
        <v>1623.1093100000001</v>
      </c>
      <c r="F3" s="4" t="s">
        <v>23</v>
      </c>
      <c r="G3" s="4">
        <v>6.9765621244218631E-2</v>
      </c>
    </row>
    <row r="4" spans="1:17" x14ac:dyDescent="0.25">
      <c r="B4" s="4">
        <v>0.28878777</v>
      </c>
      <c r="C4" s="4">
        <v>13.108472900000001</v>
      </c>
      <c r="D4" s="4">
        <v>1634.67842</v>
      </c>
      <c r="F4" s="4" t="s">
        <v>23</v>
      </c>
      <c r="G4" s="4">
        <v>0.13108472981741542</v>
      </c>
      <c r="H4" s="4">
        <v>0.21258946758494804</v>
      </c>
      <c r="N4" s="12" t="s">
        <v>5</v>
      </c>
      <c r="O4" s="13"/>
      <c r="P4" s="13"/>
      <c r="Q4" s="13"/>
    </row>
    <row r="5" spans="1:17" x14ac:dyDescent="0.25">
      <c r="B5" s="4">
        <v>0.53894779999999998</v>
      </c>
      <c r="C5" s="4">
        <v>24.46358</v>
      </c>
      <c r="D5" s="4">
        <v>1648.4405999999999</v>
      </c>
      <c r="F5" s="4" t="s">
        <v>1</v>
      </c>
      <c r="G5" s="4">
        <v>0.24463579863056681</v>
      </c>
      <c r="H5" s="4">
        <v>0.24463579863056681</v>
      </c>
      <c r="N5" s="13"/>
      <c r="O5" s="13"/>
      <c r="P5" s="13"/>
      <c r="Q5" s="13"/>
    </row>
    <row r="6" spans="1:17" x14ac:dyDescent="0.25">
      <c r="B6" s="4">
        <v>0.52126868000000004</v>
      </c>
      <c r="C6" s="4">
        <v>23.661100399999999</v>
      </c>
      <c r="D6" s="4">
        <v>1661.3005900000001</v>
      </c>
      <c r="F6" s="4" t="s">
        <v>2</v>
      </c>
      <c r="G6" s="4">
        <v>0.23661100357567355</v>
      </c>
      <c r="H6" s="4">
        <v>0.23661100357567355</v>
      </c>
      <c r="N6" s="13"/>
      <c r="O6" s="13"/>
      <c r="P6" s="13"/>
      <c r="Q6" s="13"/>
    </row>
    <row r="7" spans="1:17" x14ac:dyDescent="0.25">
      <c r="B7" s="4">
        <v>0.45207916999999997</v>
      </c>
      <c r="C7" s="4">
        <v>20.520493399999999</v>
      </c>
      <c r="D7" s="4">
        <v>1674.1196600000001</v>
      </c>
      <c r="F7" s="4" t="s">
        <v>24</v>
      </c>
      <c r="G7" s="4">
        <v>0.20520493598302803</v>
      </c>
      <c r="M7" s="14"/>
      <c r="N7" s="13"/>
      <c r="O7" s="13"/>
      <c r="P7" s="13"/>
      <c r="Q7" s="13"/>
    </row>
    <row r="8" spans="1:17" x14ac:dyDescent="0.25">
      <c r="B8" s="4">
        <v>0.22241847000000001</v>
      </c>
      <c r="C8" s="4">
        <v>10.095879200000001</v>
      </c>
      <c r="D8" s="4">
        <v>1684.44805</v>
      </c>
      <c r="F8" s="4" t="s">
        <v>24</v>
      </c>
      <c r="G8" s="4">
        <v>0.10095879422578359</v>
      </c>
      <c r="H8" s="4">
        <v>0.3061637302088116</v>
      </c>
      <c r="M8" s="14"/>
      <c r="N8" s="13"/>
      <c r="O8" s="13"/>
      <c r="P8" s="13"/>
      <c r="Q8" s="13"/>
    </row>
    <row r="9" spans="1:17" ht="15.6" customHeight="1" thickBot="1" x14ac:dyDescent="0.3">
      <c r="M9" s="15"/>
      <c r="N9" s="13"/>
      <c r="O9" s="13"/>
      <c r="P9" s="13"/>
      <c r="Q9" s="13"/>
    </row>
    <row r="10" spans="1:17" x14ac:dyDescent="0.25">
      <c r="J10" s="16" t="s">
        <v>4</v>
      </c>
      <c r="K10" s="17"/>
      <c r="M10" s="15"/>
      <c r="N10" s="13"/>
      <c r="O10" s="13"/>
      <c r="P10" s="13"/>
      <c r="Q10" s="13"/>
    </row>
    <row r="11" spans="1:17" ht="15.6" customHeight="1" x14ac:dyDescent="0.25">
      <c r="J11" s="18"/>
      <c r="K11" s="19"/>
      <c r="M11" s="15"/>
      <c r="N11" s="13"/>
      <c r="O11" s="13"/>
      <c r="P11" s="13"/>
      <c r="Q11" s="13"/>
    </row>
    <row r="12" spans="1:17" x14ac:dyDescent="0.25">
      <c r="J12" s="5">
        <v>1600</v>
      </c>
      <c r="K12" s="9" t="s">
        <v>0</v>
      </c>
      <c r="M12" s="15"/>
      <c r="N12" s="13"/>
      <c r="O12" s="13"/>
      <c r="P12" s="13"/>
      <c r="Q12" s="13"/>
    </row>
    <row r="13" spans="1:17" x14ac:dyDescent="0.25">
      <c r="J13" s="6">
        <v>1640</v>
      </c>
      <c r="K13" s="10"/>
      <c r="N13" s="13"/>
      <c r="O13" s="13"/>
      <c r="P13" s="13"/>
      <c r="Q13" s="13"/>
    </row>
    <row r="14" spans="1:17" x14ac:dyDescent="0.25">
      <c r="J14" s="5">
        <v>1640</v>
      </c>
      <c r="K14" s="9" t="s">
        <v>1</v>
      </c>
      <c r="M14" s="14"/>
      <c r="N14" s="13"/>
      <c r="O14" s="13"/>
      <c r="P14" s="13"/>
      <c r="Q14" s="13"/>
    </row>
    <row r="15" spans="1:17" x14ac:dyDescent="0.25">
      <c r="H15" s="4">
        <f>SUM(H2:H12)</f>
        <v>1</v>
      </c>
      <c r="J15" s="6">
        <v>1650</v>
      </c>
      <c r="K15" s="10"/>
      <c r="M15" s="14"/>
      <c r="N15" s="13"/>
      <c r="O15" s="13"/>
      <c r="P15" s="13"/>
      <c r="Q15" s="13"/>
    </row>
    <row r="16" spans="1:17" x14ac:dyDescent="0.25">
      <c r="J16" s="5">
        <v>1650</v>
      </c>
      <c r="K16" s="9" t="s">
        <v>2</v>
      </c>
      <c r="N16" s="13"/>
      <c r="O16" s="13"/>
      <c r="P16" s="13"/>
      <c r="Q16" s="13"/>
    </row>
    <row r="17" spans="10:17" x14ac:dyDescent="0.25">
      <c r="J17" s="6">
        <v>1660</v>
      </c>
      <c r="K17" s="10"/>
      <c r="N17" s="13"/>
      <c r="O17" s="13"/>
      <c r="P17" s="13"/>
      <c r="Q17" s="13"/>
    </row>
    <row r="18" spans="10:17" x14ac:dyDescent="0.25">
      <c r="J18" s="5">
        <v>1660</v>
      </c>
      <c r="K18" s="9" t="s">
        <v>3</v>
      </c>
      <c r="N18" s="13"/>
      <c r="O18" s="13"/>
      <c r="P18" s="13"/>
      <c r="Q18" s="13"/>
    </row>
    <row r="19" spans="10:17" ht="14.4" thickBot="1" x14ac:dyDescent="0.3">
      <c r="J19" s="7">
        <v>1700</v>
      </c>
      <c r="K19" s="11"/>
      <c r="N19" s="13"/>
      <c r="O19" s="13"/>
      <c r="P19" s="13"/>
      <c r="Q19" s="13"/>
    </row>
    <row r="20" spans="10:17" x14ac:dyDescent="0.25">
      <c r="N20" s="13"/>
      <c r="O20" s="13"/>
      <c r="P20" s="13"/>
      <c r="Q20" s="13"/>
    </row>
    <row r="21" spans="10:17" x14ac:dyDescent="0.25">
      <c r="N21" s="13"/>
      <c r="O21" s="13"/>
      <c r="P21" s="13"/>
      <c r="Q21" s="13"/>
    </row>
    <row r="22" spans="10:17" x14ac:dyDescent="0.25">
      <c r="N22" s="13"/>
      <c r="O22" s="13"/>
      <c r="P22" s="13"/>
      <c r="Q22" s="13"/>
    </row>
    <row r="23" spans="10:17" x14ac:dyDescent="0.25">
      <c r="N23" s="13"/>
      <c r="O23" s="13"/>
      <c r="P23" s="13"/>
      <c r="Q23" s="13"/>
    </row>
    <row r="24" spans="10:17" x14ac:dyDescent="0.25">
      <c r="N24" s="13"/>
      <c r="O24" s="13"/>
      <c r="P24" s="13"/>
      <c r="Q24" s="13"/>
    </row>
  </sheetData>
  <sheetProtection algorithmName="SHA-512" hashValue="Aya8WEcsw5eSxsfN9o5eUykQrXX8Pzri3x3CM+qjmNZL1S5WvEZC4xCFQGcZjj9Sg0hjJluS1/7qdlne/ANflg==" saltValue="SbDINfljiQLhv8grHrTcoQ==" spinCount="100000" sheet="1" objects="1" scenarios="1"/>
  <protectedRanges>
    <protectedRange algorithmName="SHA-512" hashValue="ZKr6RO2kCIAlqdrbz14IVocDycdyFDU6dSCK3z0sjVL8ZPmtSP/KG8uwyGcvN8BVpUw//aL+xa5T/EDheWantA==" saltValue="FYFT+Yoj0kEaOZkDrwZLIA==" spinCount="100000" sqref="J10:K19" name="区域1"/>
  </protectedRanges>
  <mergeCells count="10">
    <mergeCell ref="K12:K13"/>
    <mergeCell ref="K14:K15"/>
    <mergeCell ref="K16:K17"/>
    <mergeCell ref="K18:K19"/>
    <mergeCell ref="N4:Q24"/>
    <mergeCell ref="M7:M8"/>
    <mergeCell ref="M9:M10"/>
    <mergeCell ref="M11:M12"/>
    <mergeCell ref="M14:M15"/>
    <mergeCell ref="J10:K11"/>
  </mergeCells>
  <phoneticPr fontId="2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红外数据匹配">
                <anchor moveWithCells="1" sizeWithCells="1">
                  <from>
                    <xdr:col>10</xdr:col>
                    <xdr:colOff>30480</xdr:colOff>
                    <xdr:row>1</xdr:row>
                    <xdr:rowOff>38100</xdr:rowOff>
                  </from>
                  <to>
                    <xdr:col>11</xdr:col>
                    <xdr:colOff>137160</xdr:colOff>
                    <xdr:row>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qingkons">
                <anchor moveWithCells="1" sizeWithCells="1">
                  <from>
                    <xdr:col>9</xdr:col>
                    <xdr:colOff>586740</xdr:colOff>
                    <xdr:row>4</xdr:row>
                    <xdr:rowOff>22860</xdr:rowOff>
                  </from>
                  <to>
                    <xdr:col>11</xdr:col>
                    <xdr:colOff>213360</xdr:colOff>
                    <xdr:row>6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856E9-38AF-4D06-BEB1-192B588B8C51}">
  <sheetPr codeName="Sheet1"/>
  <dimension ref="A1:I25"/>
  <sheetViews>
    <sheetView topLeftCell="A9" workbookViewId="0">
      <selection activeCell="H23" sqref="F17:H23"/>
    </sheetView>
  </sheetViews>
  <sheetFormatPr defaultRowHeight="13.8" x14ac:dyDescent="0.25"/>
  <sheetData>
    <row r="1" spans="1:9" x14ac:dyDescent="0.25">
      <c r="A1" s="16" t="s">
        <v>4</v>
      </c>
      <c r="B1" s="17"/>
      <c r="C1" s="16" t="s">
        <v>4</v>
      </c>
      <c r="D1" s="17"/>
    </row>
    <row r="2" spans="1:9" x14ac:dyDescent="0.25">
      <c r="A2" s="18"/>
      <c r="B2" s="19"/>
      <c r="C2" s="18"/>
      <c r="D2" s="19"/>
    </row>
    <row r="3" spans="1:9" x14ac:dyDescent="0.25">
      <c r="A3" s="1">
        <v>1600</v>
      </c>
      <c r="B3" s="20" t="s">
        <v>0</v>
      </c>
      <c r="C3" s="5">
        <v>1615</v>
      </c>
      <c r="D3" s="9" t="s">
        <v>0</v>
      </c>
    </row>
    <row r="4" spans="1:9" x14ac:dyDescent="0.25">
      <c r="A4" s="2">
        <v>1640</v>
      </c>
      <c r="B4" s="21"/>
      <c r="C4" s="6">
        <v>1637</v>
      </c>
      <c r="D4" s="10"/>
    </row>
    <row r="5" spans="1:9" x14ac:dyDescent="0.25">
      <c r="A5" s="1">
        <v>1640</v>
      </c>
      <c r="B5" s="20" t="s">
        <v>1</v>
      </c>
      <c r="C5" s="5">
        <v>1637</v>
      </c>
      <c r="D5" s="9" t="s">
        <v>1</v>
      </c>
    </row>
    <row r="6" spans="1:9" x14ac:dyDescent="0.25">
      <c r="A6" s="2">
        <v>1650</v>
      </c>
      <c r="B6" s="21"/>
      <c r="C6" s="6">
        <v>1648</v>
      </c>
      <c r="D6" s="10"/>
    </row>
    <row r="7" spans="1:9" x14ac:dyDescent="0.25">
      <c r="A7" s="1">
        <v>1650</v>
      </c>
      <c r="B7" s="20" t="s">
        <v>2</v>
      </c>
      <c r="C7" s="5">
        <v>1648</v>
      </c>
      <c r="D7" s="9" t="s">
        <v>2</v>
      </c>
    </row>
    <row r="8" spans="1:9" x14ac:dyDescent="0.25">
      <c r="A8" s="2">
        <v>1660</v>
      </c>
      <c r="B8" s="21"/>
      <c r="C8" s="6">
        <v>1665</v>
      </c>
      <c r="D8" s="10"/>
    </row>
    <row r="9" spans="1:9" x14ac:dyDescent="0.25">
      <c r="A9" s="1">
        <v>1660</v>
      </c>
      <c r="B9" s="20" t="s">
        <v>3</v>
      </c>
      <c r="C9" s="5">
        <v>1665</v>
      </c>
      <c r="D9" s="9" t="s">
        <v>3</v>
      </c>
    </row>
    <row r="10" spans="1:9" ht="14.4" thickBot="1" x14ac:dyDescent="0.3">
      <c r="A10" s="3">
        <v>1700</v>
      </c>
      <c r="B10" s="22"/>
      <c r="C10" s="7">
        <v>1700</v>
      </c>
      <c r="D10" s="11"/>
    </row>
    <row r="16" spans="1:9" x14ac:dyDescent="0.25">
      <c r="A16" t="s">
        <v>14</v>
      </c>
      <c r="B16" t="s">
        <v>15</v>
      </c>
      <c r="D16" t="s">
        <v>16</v>
      </c>
      <c r="E16" t="s">
        <v>17</v>
      </c>
      <c r="F16" t="s">
        <v>18</v>
      </c>
      <c r="G16" t="s">
        <v>17</v>
      </c>
      <c r="H16" t="s">
        <v>19</v>
      </c>
      <c r="I16" t="s">
        <v>20</v>
      </c>
    </row>
    <row r="17" spans="1:9" x14ac:dyDescent="0.25">
      <c r="A17">
        <v>1</v>
      </c>
      <c r="B17" t="s">
        <v>21</v>
      </c>
      <c r="C17" t="s">
        <v>22</v>
      </c>
      <c r="D17">
        <v>2.9527189999999998E-2</v>
      </c>
      <c r="E17">
        <v>1.33595767</v>
      </c>
      <c r="F17">
        <v>2.5862E-2</v>
      </c>
      <c r="G17">
        <v>1.1739117699999999</v>
      </c>
      <c r="H17">
        <v>1609.7582</v>
      </c>
      <c r="I17">
        <v>29.204791799999999</v>
      </c>
    </row>
    <row r="18" spans="1:9" x14ac:dyDescent="0.25">
      <c r="A18">
        <v>2</v>
      </c>
      <c r="B18" t="s">
        <v>21</v>
      </c>
      <c r="C18" t="s">
        <v>22</v>
      </c>
      <c r="D18">
        <v>0.15374657</v>
      </c>
      <c r="E18">
        <v>6.9562646199999998</v>
      </c>
      <c r="F18">
        <v>0.15369798000000001</v>
      </c>
      <c r="G18">
        <v>6.9765622299999999</v>
      </c>
      <c r="H18">
        <v>1623.1093100000001</v>
      </c>
      <c r="I18">
        <v>43.077825400000002</v>
      </c>
    </row>
    <row r="19" spans="1:9" x14ac:dyDescent="0.25">
      <c r="A19">
        <v>3</v>
      </c>
      <c r="B19" t="s">
        <v>21</v>
      </c>
      <c r="C19" t="s">
        <v>22</v>
      </c>
      <c r="D19">
        <v>0.28878779999999998</v>
      </c>
      <c r="E19">
        <v>13.066205699999999</v>
      </c>
      <c r="F19">
        <v>0.28878777</v>
      </c>
      <c r="G19">
        <v>13.108472900000001</v>
      </c>
      <c r="H19">
        <v>1634.67842</v>
      </c>
      <c r="I19">
        <v>43.249409999999997</v>
      </c>
    </row>
    <row r="20" spans="1:9" x14ac:dyDescent="0.25">
      <c r="A20">
        <v>4</v>
      </c>
      <c r="B20" t="s">
        <v>21</v>
      </c>
      <c r="C20" t="s">
        <v>22</v>
      </c>
      <c r="D20">
        <v>0.53894779999999998</v>
      </c>
      <c r="E20">
        <v>24.3846965</v>
      </c>
      <c r="F20">
        <v>0.53894779999999998</v>
      </c>
      <c r="G20">
        <v>24.46358</v>
      </c>
      <c r="H20">
        <v>1648.4405999999999</v>
      </c>
      <c r="I20">
        <v>43.249544700000001</v>
      </c>
    </row>
    <row r="21" spans="1:9" x14ac:dyDescent="0.25">
      <c r="A21">
        <v>5</v>
      </c>
      <c r="B21" t="s">
        <v>21</v>
      </c>
      <c r="C21" t="s">
        <v>22</v>
      </c>
      <c r="D21">
        <v>0.52126868000000004</v>
      </c>
      <c r="E21">
        <v>23.584804599999998</v>
      </c>
      <c r="F21">
        <v>0.52126868000000004</v>
      </c>
      <c r="G21">
        <v>23.661100399999999</v>
      </c>
      <c r="H21">
        <v>1661.3005900000001</v>
      </c>
      <c r="I21">
        <v>43.249537400000001</v>
      </c>
    </row>
    <row r="22" spans="1:9" x14ac:dyDescent="0.25">
      <c r="A22">
        <v>6</v>
      </c>
      <c r="B22" t="s">
        <v>21</v>
      </c>
      <c r="C22" t="s">
        <v>22</v>
      </c>
      <c r="D22">
        <v>0.45211465000000001</v>
      </c>
      <c r="E22">
        <v>20.455930200000001</v>
      </c>
      <c r="F22">
        <v>0.45207916999999997</v>
      </c>
      <c r="G22">
        <v>20.520493399999999</v>
      </c>
      <c r="H22">
        <v>1674.1196600000001</v>
      </c>
      <c r="I22">
        <v>43.1980036</v>
      </c>
    </row>
    <row r="23" spans="1:9" x14ac:dyDescent="0.25">
      <c r="A23">
        <v>7</v>
      </c>
      <c r="B23" t="s">
        <v>21</v>
      </c>
      <c r="C23" t="s">
        <v>22</v>
      </c>
      <c r="D23">
        <v>0.22579599</v>
      </c>
      <c r="E23">
        <v>10.2161408</v>
      </c>
      <c r="F23">
        <v>0.22241847000000001</v>
      </c>
      <c r="G23">
        <v>10.095879200000001</v>
      </c>
      <c r="H23">
        <v>1684.44805</v>
      </c>
      <c r="I23">
        <v>39.584402099999998</v>
      </c>
    </row>
    <row r="24" spans="1:9" x14ac:dyDescent="0.25">
      <c r="B24" t="s">
        <v>25</v>
      </c>
      <c r="D24">
        <v>2.4131309999999999</v>
      </c>
      <c r="E24">
        <v>100</v>
      </c>
      <c r="F24" s="23">
        <v>2.40612754</v>
      </c>
      <c r="G24" s="23">
        <v>100</v>
      </c>
    </row>
    <row r="25" spans="1:9" x14ac:dyDescent="0.25">
      <c r="A25" t="s">
        <v>26</v>
      </c>
      <c r="D25" s="23"/>
      <c r="F25" s="23"/>
      <c r="G25" s="23"/>
    </row>
  </sheetData>
  <protectedRanges>
    <protectedRange algorithmName="SHA-512" hashValue="ZKr6RO2kCIAlqdrbz14IVocDycdyFDU6dSCK3z0sjVL8ZPmtSP/KG8uwyGcvN8BVpUw//aL+xa5T/EDheWantA==" saltValue="FYFT+Yoj0kEaOZkDrwZLIA==" spinCount="100000" sqref="C1:D10" name="区域1"/>
  </protectedRanges>
  <mergeCells count="10">
    <mergeCell ref="C1:D2"/>
    <mergeCell ref="D3:D4"/>
    <mergeCell ref="D5:D6"/>
    <mergeCell ref="D7:D8"/>
    <mergeCell ref="D9:D10"/>
    <mergeCell ref="A1:B2"/>
    <mergeCell ref="B3:B4"/>
    <mergeCell ref="B5:B6"/>
    <mergeCell ref="B7:B8"/>
    <mergeCell ref="B9:B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红外数据匹配计算面积占比</vt:lpstr>
      <vt:lpstr>Sheet1</vt:lpstr>
    </vt:vector>
  </TitlesOfParts>
  <Company>江南大学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蒋兆景</dc:creator>
  <cp:lastModifiedBy>Zhaojing Jiang</cp:lastModifiedBy>
  <dcterms:created xsi:type="dcterms:W3CDTF">2022-05-23T13:33:16Z</dcterms:created>
  <dcterms:modified xsi:type="dcterms:W3CDTF">2024-04-08T03:03:46Z</dcterms:modified>
</cp:coreProperties>
</file>