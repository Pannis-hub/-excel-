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08ee0a0080dc455a/A宏文件/VBA学习/Excel/"/>
    </mc:Choice>
  </mc:AlternateContent>
  <xr:revisionPtr revIDLastSave="108" documentId="8_{3B084BB6-57FC-4E1C-AABB-6000A16EF5B1}" xr6:coauthVersionLast="47" xr6:coauthVersionMax="47" xr10:uidLastSave="{CB7F9BFB-5F57-4C4B-9806-372167CF726E}"/>
  <bookViews>
    <workbookView xWindow="456" yWindow="3108" windowWidth="20700" windowHeight="14208" activeTab="1" xr2:uid="{00000000-000D-0000-FFFF-FFFF00000000}"/>
  </bookViews>
  <sheets>
    <sheet name="DEMO" sheetId="17" r:id="rId1"/>
    <sheet name="数据" sheetId="1" r:id="rId2"/>
    <sheet name="输出结果" sheetId="35" r:id="rId3"/>
    <sheet name="合并结果" sheetId="36" r:id="rId4"/>
    <sheet name="显著性提取" sheetId="33" r:id="rId5"/>
    <sheet name="显著性格式整理" sheetId="34" r:id="rId6"/>
    <sheet name="微生物的计算" sheetId="30" r:id="rId7"/>
    <sheet name="质构名词" sheetId="39" r:id="rId8"/>
  </sheets>
  <functionGroups builtInGroupCount="19"/>
  <definedNames>
    <definedName name="after101">#REF!</definedName>
    <definedName name="after102">#REF!</definedName>
    <definedName name="after103">#REF!</definedName>
    <definedName name="after104">#REF!</definedName>
    <definedName name="after105">#REF!</definedName>
    <definedName name="after11">#REF!</definedName>
    <definedName name="after111">#REF!</definedName>
    <definedName name="after112">#REF!</definedName>
    <definedName name="after113">#REF!</definedName>
    <definedName name="after114">#REF!</definedName>
    <definedName name="after115">#REF!</definedName>
    <definedName name="after12">#REF!</definedName>
    <definedName name="after121">#REF!</definedName>
    <definedName name="after122">#REF!</definedName>
    <definedName name="after123">#REF!</definedName>
    <definedName name="after124">#REF!</definedName>
    <definedName name="after125">#REF!</definedName>
    <definedName name="after13">#REF!</definedName>
    <definedName name="after14">#REF!</definedName>
    <definedName name="after15">#REF!</definedName>
    <definedName name="after21">#REF!</definedName>
    <definedName name="after22">#REF!</definedName>
    <definedName name="after23">#REF!</definedName>
    <definedName name="after24">#REF!</definedName>
    <definedName name="after25">#REF!</definedName>
    <definedName name="after31">#REF!</definedName>
    <definedName name="after32">#REF!</definedName>
    <definedName name="after33">#REF!</definedName>
    <definedName name="after34">#REF!</definedName>
    <definedName name="after35">#REF!</definedName>
    <definedName name="after36">#REF!</definedName>
    <definedName name="after41">#REF!</definedName>
    <definedName name="after42">#REF!</definedName>
    <definedName name="after43">#REF!</definedName>
    <definedName name="after44">#REF!</definedName>
    <definedName name="after45">#REF!</definedName>
    <definedName name="after51">#REF!</definedName>
    <definedName name="after52">#REF!</definedName>
    <definedName name="after53">#REF!</definedName>
    <definedName name="after54">#REF!</definedName>
    <definedName name="after55">#REF!</definedName>
    <definedName name="after61">#REF!</definedName>
    <definedName name="after62">#REF!</definedName>
    <definedName name="after63">#REF!</definedName>
    <definedName name="after64">#REF!</definedName>
    <definedName name="after65">#REF!</definedName>
    <definedName name="after71">#REF!</definedName>
    <definedName name="after72">#REF!</definedName>
    <definedName name="after73">#REF!</definedName>
    <definedName name="after74">#REF!</definedName>
    <definedName name="after75">#REF!</definedName>
    <definedName name="after81">#REF!</definedName>
    <definedName name="after82">#REF!</definedName>
    <definedName name="after83">#REF!</definedName>
    <definedName name="after84">#REF!</definedName>
    <definedName name="after85">#REF!</definedName>
    <definedName name="after91">#REF!</definedName>
    <definedName name="after92">#REF!</definedName>
    <definedName name="after93">#REF!</definedName>
    <definedName name="after94">#REF!</definedName>
    <definedName name="after95">#REF!</definedName>
    <definedName name="fdg">#REF!</definedName>
    <definedName name="name11">#REF!</definedName>
    <definedName name="name110">#REF!</definedName>
    <definedName name="name111">#REF!</definedName>
    <definedName name="name112">#REF!</definedName>
    <definedName name="name12">#REF!</definedName>
    <definedName name="name13">#REF!</definedName>
    <definedName name="name14">#REF!</definedName>
    <definedName name="name15">#REF!</definedName>
    <definedName name="name16">#REF!</definedName>
    <definedName name="name17">#REF!</definedName>
    <definedName name="name18">#REF!</definedName>
    <definedName name="name19">#REF!</definedName>
    <definedName name="name21">#REF!</definedName>
    <definedName name="name210">#REF!</definedName>
    <definedName name="name211">#REF!</definedName>
    <definedName name="name212">#REF!</definedName>
    <definedName name="name22">#REF!</definedName>
    <definedName name="name23">#REF!</definedName>
    <definedName name="name24">#REF!</definedName>
    <definedName name="name25">#REF!</definedName>
    <definedName name="name26">#REF!</definedName>
    <definedName name="name27">#REF!</definedName>
    <definedName name="name28">#REF!</definedName>
    <definedName name="name29">#REF!</definedName>
    <definedName name="name31">#REF!</definedName>
    <definedName name="name310">#REF!</definedName>
    <definedName name="name311">#REF!</definedName>
    <definedName name="name312">#REF!</definedName>
    <definedName name="name32">#REF!</definedName>
    <definedName name="name33">#REF!</definedName>
    <definedName name="name34">#REF!</definedName>
    <definedName name="name35">#REF!</definedName>
    <definedName name="name36">#REF!</definedName>
    <definedName name="name37">#REF!</definedName>
    <definedName name="name38">#REF!</definedName>
    <definedName name="name39">#REF!</definedName>
    <definedName name="name41">#REF!</definedName>
    <definedName name="name410">#REF!</definedName>
    <definedName name="name411">#REF!</definedName>
    <definedName name="name412">#REF!</definedName>
    <definedName name="name42">#REF!</definedName>
    <definedName name="name43">#REF!</definedName>
    <definedName name="name44">#REF!</definedName>
    <definedName name="name45">#REF!</definedName>
    <definedName name="name46">#REF!</definedName>
    <definedName name="name47">#REF!</definedName>
    <definedName name="name48">#REF!</definedName>
    <definedName name="name49">#REF!</definedName>
    <definedName name="name51">#REF!</definedName>
    <definedName name="name510">#REF!</definedName>
    <definedName name="name511">#REF!</definedName>
    <definedName name="name512">#REF!</definedName>
    <definedName name="name52">#REF!</definedName>
    <definedName name="name53">#REF!</definedName>
    <definedName name="name54">#REF!</definedName>
    <definedName name="name55">#REF!</definedName>
    <definedName name="name56">#REF!</definedName>
    <definedName name="name57">#REF!</definedName>
    <definedName name="name58">#REF!</definedName>
    <definedName name="name59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2" i="39" l="1"/>
  <c r="L23" i="39"/>
  <c r="L24" i="39"/>
  <c r="L25" i="39"/>
  <c r="L26" i="39"/>
  <c r="L27" i="39"/>
  <c r="L28" i="39"/>
  <c r="L21" i="39"/>
  <c r="J22" i="39"/>
  <c r="J23" i="39"/>
  <c r="J24" i="39"/>
  <c r="J25" i="39"/>
  <c r="J26" i="39"/>
  <c r="J27" i="39"/>
  <c r="J28" i="39"/>
  <c r="J29" i="39"/>
  <c r="L29" i="39"/>
  <c r="J30" i="39"/>
  <c r="L30" i="39"/>
  <c r="J31" i="39"/>
  <c r="L31" i="39"/>
  <c r="J32" i="39"/>
  <c r="L32" i="39"/>
  <c r="M32" i="39"/>
  <c r="J33" i="39"/>
  <c r="L33" i="39"/>
  <c r="Q33" i="39"/>
  <c r="J34" i="39"/>
  <c r="L34" i="39"/>
  <c r="M34" i="39"/>
  <c r="N34" i="39"/>
  <c r="O34" i="39" s="1"/>
  <c r="P34" i="39" s="1"/>
  <c r="Q34" i="39"/>
  <c r="J35" i="39"/>
  <c r="L35" i="39"/>
  <c r="N35" i="39"/>
  <c r="O35" i="39"/>
  <c r="Q35" i="39"/>
  <c r="C29" i="39"/>
  <c r="D29" i="39"/>
  <c r="E29" i="39"/>
  <c r="F29" i="39"/>
  <c r="G29" i="39"/>
  <c r="Q29" i="39" s="1"/>
  <c r="H29" i="39"/>
  <c r="N29" i="39" s="1"/>
  <c r="O29" i="39" s="1"/>
  <c r="I29" i="39"/>
  <c r="M29" i="39" s="1"/>
  <c r="C30" i="39"/>
  <c r="D30" i="39"/>
  <c r="E30" i="39"/>
  <c r="F30" i="39"/>
  <c r="G30" i="39"/>
  <c r="Q30" i="39" s="1"/>
  <c r="H30" i="39"/>
  <c r="N30" i="39" s="1"/>
  <c r="O30" i="39" s="1"/>
  <c r="P30" i="39" s="1"/>
  <c r="I30" i="39"/>
  <c r="M30" i="39" s="1"/>
  <c r="C31" i="39"/>
  <c r="D31" i="39"/>
  <c r="E31" i="39"/>
  <c r="F31" i="39"/>
  <c r="G31" i="39"/>
  <c r="Q31" i="39" s="1"/>
  <c r="H31" i="39"/>
  <c r="N31" i="39" s="1"/>
  <c r="I31" i="39"/>
  <c r="M31" i="39" s="1"/>
  <c r="C32" i="39"/>
  <c r="D32" i="39"/>
  <c r="E32" i="39"/>
  <c r="F32" i="39"/>
  <c r="G32" i="39"/>
  <c r="Q32" i="39" s="1"/>
  <c r="H32" i="39"/>
  <c r="N32" i="39" s="1"/>
  <c r="I32" i="39"/>
  <c r="C33" i="39"/>
  <c r="D33" i="39"/>
  <c r="E33" i="39"/>
  <c r="F33" i="39"/>
  <c r="G33" i="39"/>
  <c r="H33" i="39"/>
  <c r="N33" i="39" s="1"/>
  <c r="O33" i="39" s="1"/>
  <c r="I33" i="39"/>
  <c r="M33" i="39" s="1"/>
  <c r="P33" i="39" s="1"/>
  <c r="C34" i="39"/>
  <c r="D34" i="39"/>
  <c r="E34" i="39"/>
  <c r="F34" i="39"/>
  <c r="G34" i="39"/>
  <c r="H34" i="39"/>
  <c r="I34" i="39"/>
  <c r="C35" i="39"/>
  <c r="D35" i="39"/>
  <c r="E35" i="39"/>
  <c r="F35" i="39"/>
  <c r="G35" i="39"/>
  <c r="H35" i="39"/>
  <c r="I35" i="39"/>
  <c r="M35" i="39" s="1"/>
  <c r="C22" i="39"/>
  <c r="D22" i="39"/>
  <c r="E22" i="39"/>
  <c r="F22" i="39"/>
  <c r="G22" i="39"/>
  <c r="H22" i="39"/>
  <c r="I22" i="39"/>
  <c r="M22" i="39" s="1"/>
  <c r="C23" i="39"/>
  <c r="D23" i="39"/>
  <c r="E23" i="39"/>
  <c r="F23" i="39"/>
  <c r="G23" i="39"/>
  <c r="Q23" i="39" s="1"/>
  <c r="H23" i="39"/>
  <c r="I23" i="39"/>
  <c r="M23" i="39" s="1"/>
  <c r="C24" i="39"/>
  <c r="D24" i="39"/>
  <c r="E24" i="39"/>
  <c r="F24" i="39"/>
  <c r="G24" i="39"/>
  <c r="H24" i="39"/>
  <c r="N24" i="39" s="1"/>
  <c r="O24" i="39" s="1"/>
  <c r="I24" i="39"/>
  <c r="M24" i="39" s="1"/>
  <c r="C25" i="39"/>
  <c r="D25" i="39"/>
  <c r="E25" i="39"/>
  <c r="F25" i="39"/>
  <c r="G25" i="39"/>
  <c r="H25" i="39"/>
  <c r="N25" i="39" s="1"/>
  <c r="I25" i="39"/>
  <c r="M25" i="39" s="1"/>
  <c r="C26" i="39"/>
  <c r="D26" i="39"/>
  <c r="E26" i="39"/>
  <c r="F26" i="39"/>
  <c r="G26" i="39"/>
  <c r="H26" i="39"/>
  <c r="I26" i="39"/>
  <c r="C27" i="39"/>
  <c r="D27" i="39"/>
  <c r="E27" i="39"/>
  <c r="F27" i="39"/>
  <c r="G27" i="39"/>
  <c r="H27" i="39"/>
  <c r="I27" i="39"/>
  <c r="C28" i="39"/>
  <c r="D28" i="39"/>
  <c r="E28" i="39"/>
  <c r="F28" i="39"/>
  <c r="G28" i="39"/>
  <c r="Q28" i="39" s="1"/>
  <c r="H28" i="39"/>
  <c r="I28" i="39"/>
  <c r="H21" i="39"/>
  <c r="G21" i="39"/>
  <c r="F21" i="39"/>
  <c r="D21" i="39"/>
  <c r="C21" i="39"/>
  <c r="I21" i="39"/>
  <c r="E21" i="39"/>
  <c r="J21" i="39"/>
  <c r="A9" i="33"/>
  <c r="A4" i="33"/>
  <c r="A5" i="33"/>
  <c r="A6" i="33"/>
  <c r="A7" i="33"/>
  <c r="A8" i="33"/>
  <c r="A10" i="33"/>
  <c r="A11" i="33"/>
  <c r="A12" i="33"/>
  <c r="A3" i="33"/>
  <c r="P29" i="39" l="1"/>
  <c r="P24" i="39"/>
  <c r="Q21" i="39"/>
  <c r="M26" i="39"/>
  <c r="M28" i="39"/>
  <c r="N28" i="39"/>
  <c r="O28" i="39" s="1"/>
  <c r="P28" i="39" s="1"/>
  <c r="Q27" i="39"/>
  <c r="P35" i="39"/>
  <c r="M21" i="39"/>
  <c r="M27" i="39"/>
  <c r="Q25" i="39"/>
  <c r="N27" i="39"/>
  <c r="O27" i="39" s="1"/>
  <c r="P27" i="39" s="1"/>
  <c r="Q24" i="39"/>
  <c r="N26" i="39"/>
  <c r="O26" i="39" s="1"/>
  <c r="P26" i="39" s="1"/>
  <c r="N22" i="39"/>
  <c r="O22" i="39" s="1"/>
  <c r="Q22" i="39"/>
  <c r="Q26" i="39"/>
  <c r="N23" i="39"/>
  <c r="O23" i="39" s="1"/>
  <c r="P23" i="39" s="1"/>
  <c r="P22" i="39"/>
  <c r="O31" i="39"/>
  <c r="P31" i="39" s="1"/>
  <c r="O25" i="39"/>
  <c r="P25" i="39" s="1"/>
  <c r="O32" i="39"/>
  <c r="P32" i="39" s="1"/>
  <c r="N21" i="39"/>
  <c r="O21" i="39" s="1"/>
  <c r="P21" i="3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Zhaojing Jiang</author>
  </authors>
  <commentList>
    <comment ref="A1" authorId="0" shapeId="0" xr:uid="{0FBFAB36-63BC-4A2F-8FF3-115C5E3E6362}">
      <text>
        <r>
          <rPr>
            <b/>
            <sz val="9"/>
            <color indexed="81"/>
            <rFont val="宋体"/>
            <family val="3"/>
            <charset val="134"/>
          </rPr>
          <t>Zhaojing Jiang:</t>
        </r>
        <r>
          <rPr>
            <sz val="9"/>
            <color indexed="81"/>
            <rFont val="宋体"/>
            <family val="3"/>
            <charset val="134"/>
          </rPr>
          <t xml:space="preserve">
根据质构仪表格，将原始数据转变为N，然后重新计算转变后的数据。并在下列中输出。</t>
        </r>
      </text>
    </comment>
  </commentList>
</comments>
</file>

<file path=xl/sharedStrings.xml><?xml version="1.0" encoding="utf-8"?>
<sst xmlns="http://schemas.openxmlformats.org/spreadsheetml/2006/main" count="123" uniqueCount="92">
  <si>
    <t>a</t>
  </si>
  <si>
    <t>c</t>
  </si>
  <si>
    <t>b</t>
  </si>
  <si>
    <t>60-min</t>
  </si>
  <si>
    <t>CG-0-min</t>
  </si>
  <si>
    <t>CG-15-min</t>
  </si>
  <si>
    <t>CG-30-min</t>
  </si>
  <si>
    <t>CG-45-min</t>
  </si>
  <si>
    <t>CG-60-min</t>
  </si>
  <si>
    <t>bc</t>
  </si>
  <si>
    <t>g</t>
  </si>
  <si>
    <t>de</t>
  </si>
  <si>
    <t>ef</t>
  </si>
  <si>
    <t>cd</t>
  </si>
  <si>
    <t>f</t>
  </si>
  <si>
    <t>d</t>
  </si>
  <si>
    <t>Hardness</t>
  </si>
  <si>
    <t>Fracturability</t>
  </si>
  <si>
    <t>Adhesiveness</t>
  </si>
  <si>
    <t>Cohesiveness</t>
  </si>
  <si>
    <t>Springiness</t>
  </si>
  <si>
    <t>Gumminess</t>
  </si>
  <si>
    <t>Chewiness</t>
  </si>
  <si>
    <t>Resilience</t>
  </si>
  <si>
    <t>粘附性</t>
  </si>
  <si>
    <t>内聚性</t>
  </si>
  <si>
    <t>弹性</t>
  </si>
  <si>
    <t>胶着性（半固体）</t>
  </si>
  <si>
    <t>咀嚼性（固体）</t>
  </si>
  <si>
    <t>回复性</t>
  </si>
  <si>
    <t>转化前1</t>
    <phoneticPr fontId="2" type="noConversion"/>
  </si>
  <si>
    <t>转化前2</t>
    <phoneticPr fontId="2" type="noConversion"/>
  </si>
  <si>
    <t>转化前3</t>
  </si>
  <si>
    <t>转化前4</t>
  </si>
  <si>
    <t>转化前5</t>
  </si>
  <si>
    <t>转化前6</t>
  </si>
  <si>
    <t>转化前7</t>
  </si>
  <si>
    <t>转化前8</t>
  </si>
  <si>
    <t>转化前9</t>
  </si>
  <si>
    <t>转化前10</t>
  </si>
  <si>
    <t>转化前11</t>
  </si>
  <si>
    <t>转化前12</t>
  </si>
  <si>
    <t>转化前13</t>
  </si>
  <si>
    <t>转化前14</t>
  </si>
  <si>
    <t>后1</t>
    <phoneticPr fontId="2" type="noConversion"/>
  </si>
  <si>
    <t>后2</t>
    <phoneticPr fontId="2" type="noConversion"/>
  </si>
  <si>
    <t>后3</t>
  </si>
  <si>
    <t>后4</t>
  </si>
  <si>
    <t>后5</t>
  </si>
  <si>
    <t>后6</t>
  </si>
  <si>
    <t>后7</t>
  </si>
  <si>
    <t>后8</t>
  </si>
  <si>
    <t>后9</t>
  </si>
  <si>
    <t>后10</t>
  </si>
  <si>
    <t>后11</t>
  </si>
  <si>
    <t>后12</t>
  </si>
  <si>
    <t>后13</t>
  </si>
  <si>
    <t>后14</t>
  </si>
  <si>
    <t>后15</t>
  </si>
  <si>
    <t>转化前15</t>
  </si>
  <si>
    <t>Force 1</t>
  </si>
  <si>
    <t>Area-FT 1:2</t>
  </si>
  <si>
    <t>Time-diff. 1:2</t>
  </si>
  <si>
    <t>Area-FT 1:3</t>
  </si>
  <si>
    <t>Area-FT 2:3</t>
  </si>
  <si>
    <t>Area-FT 4:6</t>
  </si>
  <si>
    <t>Time-diff. 4:5</t>
  </si>
  <si>
    <t>g.sec</t>
  </si>
  <si>
    <t>sec</t>
  </si>
  <si>
    <t>Area (Traditional) F-T 1:2</t>
  </si>
  <si>
    <t>Time Difference 1:2</t>
  </si>
  <si>
    <t>Area (Traditional) F-T 1:3</t>
  </si>
  <si>
    <t>Area (Traditional) F-T 2:3</t>
  </si>
  <si>
    <t>Area (Traditional) F-T 4:6</t>
  </si>
  <si>
    <t>Time Difference 4:5</t>
  </si>
  <si>
    <t>Force 2</t>
  </si>
  <si>
    <t>Force 3</t>
  </si>
  <si>
    <t>Variable</t>
  </si>
  <si>
    <t>J#/F#</t>
    <phoneticPr fontId="6" type="noConversion"/>
  </si>
  <si>
    <t>I#/G#</t>
  </si>
  <si>
    <t>K#*O#</t>
  </si>
  <si>
    <t>P#*N#</t>
  </si>
  <si>
    <t>H#/E#</t>
  </si>
  <si>
    <t>N</t>
    <phoneticPr fontId="2" type="noConversion"/>
  </si>
  <si>
    <t>N.sec</t>
    <phoneticPr fontId="2" type="noConversion"/>
  </si>
  <si>
    <t>硬度</t>
    <phoneticPr fontId="2" type="noConversion"/>
  </si>
  <si>
    <t>脆性</t>
    <phoneticPr fontId="2" type="noConversion"/>
  </si>
  <si>
    <t>说明</t>
    <phoneticPr fontId="2" type="noConversion"/>
  </si>
  <si>
    <t>a</t>
    <phoneticPr fontId="2" type="noConversion"/>
  </si>
  <si>
    <t>b</t>
    <phoneticPr fontId="2" type="noConversion"/>
  </si>
  <si>
    <t>ngf</t>
    <phoneticPr fontId="2" type="noConversion"/>
  </si>
  <si>
    <t>fdb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</si>
</sst>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b/>
      <sz val="11"/>
      <color rgb="FFFF0000"/>
      <name val="等线"/>
      <family val="2"/>
      <charset val="134"/>
      <scheme val="minor"/>
    </font>
    <font>
      <b/>
      <sz val="11.25"/>
      <color rgb="FFFF0000"/>
      <name val="-apple-system"/>
      <family val="2"/>
    </font>
    <font>
      <b/>
      <sz val="11"/>
      <color rgb="FFFF0000"/>
      <name val="Microsoft YaHei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</borders>
  <cellStyleXfs count="3">
    <xf numFmtId="0" fontId="0" fillId="0" borderId="0">
      <alignment vertical="center"/>
    </xf>
    <xf numFmtId="0" fontId="3" fillId="0" borderId="0"/>
    <xf numFmtId="0" fontId="4" fillId="0" borderId="0">
      <alignment vertical="center"/>
    </xf>
  </cellStyleXfs>
  <cellXfs count="17">
    <xf numFmtId="0" fontId="0" fillId="0" borderId="0" xfId="0">
      <alignment vertical="center"/>
    </xf>
    <xf numFmtId="0" fontId="0" fillId="0" borderId="0" xfId="0" applyAlignment="1">
      <alignment vertical="center"/>
    </xf>
    <xf numFmtId="0" fontId="3" fillId="0" borderId="0" xfId="1"/>
    <xf numFmtId="49" fontId="0" fillId="0" borderId="0" xfId="0" applyNumberFormat="1">
      <alignment vertical="center"/>
    </xf>
    <xf numFmtId="49" fontId="0" fillId="0" borderId="0" xfId="0" applyNumberFormat="1" applyFill="1" applyBorder="1">
      <alignment vertical="center"/>
    </xf>
    <xf numFmtId="0" fontId="5" fillId="0" borderId="0" xfId="0" applyFont="1">
      <alignment vertical="center"/>
    </xf>
    <xf numFmtId="0" fontId="0" fillId="0" borderId="1" xfId="0" applyBorder="1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0" fontId="0" fillId="3" borderId="0" xfId="0" applyFill="1">
      <alignment vertical="center"/>
    </xf>
    <xf numFmtId="0" fontId="0" fillId="3" borderId="1" xfId="0" applyFill="1" applyBorder="1">
      <alignment vertical="center"/>
    </xf>
    <xf numFmtId="0" fontId="7" fillId="4" borderId="0" xfId="0" applyFont="1" applyFill="1">
      <alignment vertical="center"/>
    </xf>
    <xf numFmtId="0" fontId="8" fillId="4" borderId="2" xfId="0" applyFont="1" applyFill="1" applyBorder="1" applyAlignment="1">
      <alignment vertical="center" wrapText="1"/>
    </xf>
    <xf numFmtId="0" fontId="9" fillId="4" borderId="0" xfId="0" applyFont="1" applyFill="1">
      <alignment vertical="center"/>
    </xf>
    <xf numFmtId="0" fontId="9" fillId="4" borderId="2" xfId="0" applyFont="1" applyFill="1" applyBorder="1" applyAlignment="1">
      <alignment vertical="center" wrapText="1"/>
    </xf>
    <xf numFmtId="0" fontId="0" fillId="0" borderId="0" xfId="0" applyAlignment="1" applyProtection="1"/>
    <xf numFmtId="0" fontId="1" fillId="0" borderId="0" xfId="1" applyFont="1"/>
  </cellXfs>
  <cellStyles count="3">
    <cellStyle name="常规" xfId="0" builtinId="0"/>
    <cellStyle name="常规 2" xfId="1" xr:uid="{00000000-0005-0000-0000-000002000000}"/>
    <cellStyle name="常规 3" xfId="2" xr:uid="{00000000-0005-0000-0000-000003000000}"/>
  </cellStyles>
  <dxfs count="0"/>
  <tableStyles count="0" defaultTableStyle="TableStyleMedium2" defaultPivotStyle="PivotStyleLight16"/>
  <colors>
    <mruColors>
      <color rgb="FFFF9D5B"/>
      <color rgb="FFFF6600"/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83820</xdr:colOff>
      <xdr:row>1</xdr:row>
      <xdr:rowOff>182880</xdr:rowOff>
    </xdr:from>
    <xdr:to>
      <xdr:col>16</xdr:col>
      <xdr:colOff>342900</xdr:colOff>
      <xdr:row>11</xdr:row>
      <xdr:rowOff>76200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8328660" y="365760"/>
          <a:ext cx="2087880" cy="189738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zh-CN" altLang="en-US" sz="1400"/>
            <a:t>此为数据范围（行列标题必须包括在内），选中后点击自动选择按键，然后进行分析。</a:t>
          </a:r>
        </a:p>
      </xdr:txBody>
    </xdr:sp>
    <xdr:clientData/>
  </xdr:twoCellAnchor>
  <xdr:twoCellAnchor>
    <xdr:from>
      <xdr:col>0</xdr:col>
      <xdr:colOff>30480</xdr:colOff>
      <xdr:row>17</xdr:row>
      <xdr:rowOff>182880</xdr:rowOff>
    </xdr:from>
    <xdr:to>
      <xdr:col>10</xdr:col>
      <xdr:colOff>251460</xdr:colOff>
      <xdr:row>36</xdr:row>
      <xdr:rowOff>7620</xdr:rowOff>
    </xdr:to>
    <xdr:sp macro="" textlink="">
      <xdr:nvSpPr>
        <xdr:cNvPr id="5" name="文本框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30480" y="3566160"/>
          <a:ext cx="6637020" cy="317754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rgbClr val="FFFF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zh-CN" altLang="en-US" sz="1200"/>
            <a:t>使用说明</a:t>
          </a:r>
          <a:endParaRPr lang="en-US" altLang="zh-CN" sz="1200"/>
        </a:p>
        <a:p>
          <a:pPr algn="l"/>
          <a:r>
            <a:rPr lang="zh-CN" altLang="en-US" sz="1200" baseline="0"/>
            <a:t>   </a:t>
          </a:r>
          <a:br>
            <a:rPr lang="en-US" altLang="zh-CN" sz="1200"/>
          </a:br>
          <a:br>
            <a:rPr lang="en-US" altLang="zh-CN" sz="1200"/>
          </a:br>
          <a:r>
            <a:rPr lang="zh-CN" altLang="en-US" sz="1200"/>
            <a:t>使用数据分析时：</a:t>
          </a:r>
          <a:br>
            <a:rPr lang="en-US" altLang="zh-CN" sz="1200"/>
          </a:br>
          <a:r>
            <a:rPr lang="en-US" altLang="zh-CN" sz="1200"/>
            <a:t>    1. </a:t>
          </a:r>
          <a:r>
            <a:rPr lang="zh-CN" altLang="en-US" sz="1200"/>
            <a:t>请确认数据正确输入，数据内不要输入文字（如有非数据值，会提示错误）。</a:t>
          </a:r>
          <a:br>
            <a:rPr lang="en-US" altLang="zh-CN" sz="1200"/>
          </a:br>
          <a:r>
            <a:rPr lang="en-US" altLang="zh-CN" sz="1200" baseline="0"/>
            <a:t>    </a:t>
          </a:r>
          <a:r>
            <a:rPr lang="en-US" altLang="zh-CN" sz="1200"/>
            <a:t>2. </a:t>
          </a:r>
          <a:r>
            <a:rPr lang="zh-CN" altLang="en-US" sz="1200"/>
            <a:t>如果组内有</a:t>
          </a:r>
          <a:r>
            <a:rPr lang="zh-CN" altLang="en-US" sz="1200">
              <a:solidFill>
                <a:srgbClr val="FF0000"/>
              </a:solidFill>
            </a:rPr>
            <a:t>空值不妨碍计算</a:t>
          </a:r>
          <a:r>
            <a:rPr lang="zh-CN" altLang="en-US" sz="1200"/>
            <a:t>，也不影响正确性。</a:t>
          </a:r>
          <a:r>
            <a:rPr lang="en-US" altLang="zh-CN" sz="1200" baseline="0"/>
            <a:t>    </a:t>
          </a:r>
          <a:r>
            <a:rPr lang="zh-CN" altLang="en-US" sz="1200" baseline="0"/>
            <a:t>如</a:t>
          </a:r>
          <a:r>
            <a:rPr lang="en-US" altLang="zh-CN" sz="1200" baseline="0"/>
            <a:t>B5</a:t>
          </a:r>
          <a:r>
            <a:rPr lang="zh-CN" altLang="en-US" sz="1200" baseline="0"/>
            <a:t>、</a:t>
          </a:r>
          <a:r>
            <a:rPr lang="en-US" altLang="zh-CN" sz="1200" baseline="0"/>
            <a:t>E12</a:t>
          </a:r>
          <a:r>
            <a:rPr lang="zh-CN" altLang="en-US" sz="1200" baseline="0"/>
            <a:t>的缺失。</a:t>
          </a:r>
          <a:endParaRPr lang="en-US" altLang="zh-CN" sz="1200" baseline="0"/>
        </a:p>
        <a:p>
          <a:pPr algn="l"/>
          <a:r>
            <a:rPr lang="en-US" altLang="zh-CN" sz="1200" baseline="0"/>
            <a:t>    3. </a:t>
          </a:r>
          <a:r>
            <a:rPr lang="zh-CN" altLang="en-US" sz="1200" baseline="0"/>
            <a:t>缺失值请保持空白，</a:t>
          </a:r>
          <a:r>
            <a:rPr lang="en-US" altLang="zh-CN" sz="1200" baseline="0"/>
            <a:t>0</a:t>
          </a:r>
          <a:r>
            <a:rPr lang="zh-CN" altLang="en-US" sz="1200" baseline="0"/>
            <a:t>不等于空白，</a:t>
          </a:r>
          <a:r>
            <a:rPr lang="en-US" altLang="zh-CN" sz="1200" baseline="0"/>
            <a:t>0</a:t>
          </a:r>
          <a:r>
            <a:rPr lang="zh-CN" altLang="en-US" sz="1200" baseline="0"/>
            <a:t>将参与正常计算，在复制过程中请注意。</a:t>
          </a:r>
          <a:endParaRPr lang="en-US" altLang="zh-CN" sz="1200" baseline="0"/>
        </a:p>
        <a:p>
          <a:pPr algn="l"/>
          <a:endParaRPr lang="en-US" altLang="zh-CN" sz="1200" baseline="0"/>
        </a:p>
        <a:p>
          <a:pPr algn="l"/>
          <a:r>
            <a:rPr lang="en-US" altLang="zh-CN" sz="1200" baseline="0"/>
            <a:t>V3.2 </a:t>
          </a:r>
        </a:p>
        <a:p>
          <a:pPr algn="l"/>
          <a:r>
            <a:rPr lang="en-US" altLang="zh-CN" sz="1200" baseline="0"/>
            <a:t>   1. </a:t>
          </a:r>
          <a:r>
            <a:rPr lang="zh-CN" altLang="en-US" sz="1200" baseline="0"/>
            <a:t>标准差使用</a:t>
          </a:r>
          <a:r>
            <a:rPr lang="en-US" altLang="zh-CN" sz="1200" baseline="0"/>
            <a:t>Stdev_S </a:t>
          </a:r>
          <a:r>
            <a:rPr lang="zh-CN" altLang="en-US" sz="1200" baseline="0"/>
            <a:t>来获取与</a:t>
          </a:r>
          <a:r>
            <a:rPr lang="en-US" altLang="zh-CN" sz="1200" baseline="0"/>
            <a:t>origin</a:t>
          </a:r>
          <a:r>
            <a:rPr lang="zh-CN" altLang="en-US" sz="1200" baseline="0"/>
            <a:t>一样的标准差。</a:t>
          </a:r>
          <a:br>
            <a:rPr lang="en-US" altLang="zh-CN" sz="1200" baseline="0"/>
          </a:br>
          <a:endParaRPr lang="zh-CN" altLang="en-US" sz="1200"/>
        </a:p>
      </xdr:txBody>
    </xdr:sp>
    <xdr:clientData/>
  </xdr:twoCellAnchor>
  <xdr:twoCellAnchor>
    <xdr:from>
      <xdr:col>11</xdr:col>
      <xdr:colOff>91440</xdr:colOff>
      <xdr:row>20</xdr:row>
      <xdr:rowOff>45720</xdr:rowOff>
    </xdr:from>
    <xdr:to>
      <xdr:col>22</xdr:col>
      <xdr:colOff>7620</xdr:colOff>
      <xdr:row>35</xdr:row>
      <xdr:rowOff>137160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7117080" y="3977640"/>
          <a:ext cx="6621780" cy="272034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rgbClr val="FFFF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zh-CN" altLang="en-US" sz="1200" baseline="0">
              <a:solidFill>
                <a:srgbClr val="FF0000"/>
              </a:solidFill>
            </a:rPr>
            <a:t>注：</a:t>
          </a:r>
          <a:endParaRPr lang="en-US" altLang="zh-CN" sz="1200" baseline="0">
            <a:solidFill>
              <a:srgbClr val="FF0000"/>
            </a:solidFill>
          </a:endParaRPr>
        </a:p>
        <a:p>
          <a:pPr algn="l"/>
          <a:r>
            <a:rPr lang="en-US" altLang="zh-CN" sz="1200" baseline="0">
              <a:solidFill>
                <a:srgbClr val="FF0000"/>
              </a:solidFill>
            </a:rPr>
            <a:t>1</a:t>
          </a:r>
          <a:r>
            <a:rPr lang="zh-CN" altLang="en-US" sz="1200" baseline="0">
              <a:solidFill>
                <a:srgbClr val="FF0000"/>
              </a:solidFill>
            </a:rPr>
            <a:t>、偶见不显示行列标题</a:t>
          </a:r>
          <a:r>
            <a:rPr lang="en-US" altLang="zh-CN" sz="1200" baseline="0">
              <a:solidFill>
                <a:srgbClr val="FF0000"/>
              </a:solidFill>
            </a:rPr>
            <a:t>BUG</a:t>
          </a:r>
          <a:r>
            <a:rPr lang="zh-CN" altLang="en-US" sz="1200" baseline="0">
              <a:solidFill>
                <a:srgbClr val="FF0000"/>
              </a:solidFill>
            </a:rPr>
            <a:t>。</a:t>
          </a:r>
          <a:endParaRPr lang="en-US" altLang="zh-CN" sz="1200" baseline="0">
            <a:solidFill>
              <a:srgbClr val="FF0000"/>
            </a:solidFill>
          </a:endParaRPr>
        </a:p>
        <a:p>
          <a:pPr algn="l"/>
          <a:r>
            <a:rPr lang="en-US" altLang="zh-CN" sz="12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2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、使用转置功能，</a:t>
          </a:r>
          <a:r>
            <a:rPr lang="zh-CN" altLang="zh-C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如果只有一列数据则</a:t>
          </a:r>
          <a:r>
            <a:rPr lang="zh-CN" altLang="en-US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触发</a:t>
          </a:r>
          <a:r>
            <a:rPr lang="en-US" altLang="zh-C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BUG</a:t>
          </a:r>
          <a:r>
            <a:rPr lang="zh-CN" altLang="en-US" sz="9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（懒得修改）</a:t>
          </a:r>
          <a:r>
            <a:rPr lang="zh-CN" altLang="zh-C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，可将数据</a:t>
          </a:r>
          <a:r>
            <a:rPr lang="zh-CN" altLang="en-US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再</a:t>
          </a:r>
          <a:r>
            <a:rPr lang="zh-CN" altLang="zh-C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复制</a:t>
          </a:r>
          <a:r>
            <a:rPr lang="zh-CN" altLang="en-US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一</a:t>
          </a:r>
          <a:r>
            <a:rPr lang="zh-CN" altLang="zh-C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行</a:t>
          </a:r>
          <a:r>
            <a:rPr lang="zh-CN" altLang="en-US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（列）</a:t>
          </a:r>
          <a:r>
            <a:rPr lang="zh-CN" altLang="zh-C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，即可解决</a:t>
          </a:r>
          <a:r>
            <a:rPr lang="zh-CN" altLang="en-US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。</a:t>
          </a:r>
          <a:endParaRPr lang="en-US" altLang="zh-CN" sz="1100" b="0" i="0" baseline="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n-US" altLang="zh-CN" sz="1600" b="0" i="0" baseline="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pPr algn="l"/>
          <a:br>
            <a:rPr lang="en-US" altLang="zh-CN" sz="1200" baseline="0"/>
          </a:br>
          <a:endParaRPr lang="zh-CN" altLang="en-US" sz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251460</xdr:colOff>
          <xdr:row>4</xdr:row>
          <xdr:rowOff>53340</xdr:rowOff>
        </xdr:from>
        <xdr:to>
          <xdr:col>18</xdr:col>
          <xdr:colOff>342900</xdr:colOff>
          <xdr:row>8</xdr:row>
          <xdr:rowOff>45720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7620</xdr:rowOff>
        </xdr:from>
        <xdr:to>
          <xdr:col>2</xdr:col>
          <xdr:colOff>137160</xdr:colOff>
          <xdr:row>1</xdr:row>
          <xdr:rowOff>45720</xdr:rowOff>
        </xdr:to>
        <xdr:sp macro="" textlink="">
          <xdr:nvSpPr>
            <xdr:cNvPr id="18434" name="transposition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2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30480</xdr:rowOff>
        </xdr:from>
        <xdr:to>
          <xdr:col>1</xdr:col>
          <xdr:colOff>198120</xdr:colOff>
          <xdr:row>0</xdr:row>
          <xdr:rowOff>297180</xdr:rowOff>
        </xdr:to>
        <xdr:sp macro="" textlink="">
          <xdr:nvSpPr>
            <xdr:cNvPr id="14338" name="Transpose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3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22860</xdr:rowOff>
        </xdr:from>
        <xdr:to>
          <xdr:col>1</xdr:col>
          <xdr:colOff>76200</xdr:colOff>
          <xdr:row>2</xdr:row>
          <xdr:rowOff>129540</xdr:rowOff>
        </xdr:to>
        <xdr:sp macro="" textlink="">
          <xdr:nvSpPr>
            <xdr:cNvPr id="10252" name="ANOVA_marker_clear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4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53340</xdr:colOff>
          <xdr:row>3</xdr:row>
          <xdr:rowOff>152400</xdr:rowOff>
        </xdr:to>
        <xdr:sp macro="" textlink="">
          <xdr:nvSpPr>
            <xdr:cNvPr id="10253" name="ANOVA_marker_copy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4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99060</xdr:rowOff>
        </xdr:from>
        <xdr:to>
          <xdr:col>1</xdr:col>
          <xdr:colOff>205740</xdr:colOff>
          <xdr:row>15</xdr:row>
          <xdr:rowOff>152400</xdr:rowOff>
        </xdr:to>
        <xdr:sp macro="" textlink="">
          <xdr:nvSpPr>
            <xdr:cNvPr id="12291" name="CommandButton1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5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13</xdr:row>
      <xdr:rowOff>76200</xdr:rowOff>
    </xdr:from>
    <xdr:to>
      <xdr:col>10</xdr:col>
      <xdr:colOff>215640</xdr:colOff>
      <xdr:row>28</xdr:row>
      <xdr:rowOff>114300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36380" y="2354580"/>
          <a:ext cx="6311640" cy="266700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5:A40"/>
  <sheetViews>
    <sheetView topLeftCell="A5" workbookViewId="0">
      <selection activeCell="P16" sqref="P16"/>
    </sheetView>
  </sheetViews>
  <sheetFormatPr defaultRowHeight="13.8"/>
  <cols>
    <col min="1" max="16384" width="8.88671875" style="1"/>
  </cols>
  <sheetData>
    <row r="15" ht="16.2" customHeight="1"/>
    <row r="18" ht="15.6" customHeight="1"/>
    <row r="19" ht="13.8" customHeight="1"/>
    <row r="20" ht="13.8" customHeight="1"/>
    <row r="21" ht="13.8" customHeight="1"/>
    <row r="22" ht="13.8" customHeight="1"/>
    <row r="23" ht="13.8" customHeight="1"/>
    <row r="24" ht="13.8" customHeight="1"/>
    <row r="25" ht="13.8" customHeight="1"/>
    <row r="26" ht="13.8" customHeight="1"/>
    <row r="27" ht="13.8" customHeight="1"/>
    <row r="28" ht="13.8" customHeight="1"/>
    <row r="29" ht="13.8" customHeight="1"/>
    <row r="30" ht="13.8" customHeight="1"/>
    <row r="31" ht="13.8" customHeight="1"/>
    <row r="32" ht="13.8" customHeight="1"/>
    <row r="33" ht="13.8" customHeight="1"/>
    <row r="34" ht="13.8" customHeight="1"/>
    <row r="35" ht="13.8" customHeight="1"/>
    <row r="36" ht="13.8" customHeight="1"/>
    <row r="37" ht="13.8" customHeight="1"/>
    <row r="38" ht="13.8" customHeight="1"/>
    <row r="39" ht="13.8" customHeight="1"/>
    <row r="40" ht="13.8" customHeight="1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98"/>
  <sheetViews>
    <sheetView tabSelected="1" zoomScale="85" zoomScaleNormal="85" workbookViewId="0">
      <selection activeCell="T12" sqref="T12"/>
    </sheetView>
  </sheetViews>
  <sheetFormatPr defaultRowHeight="13.8"/>
  <cols>
    <col min="1" max="10" width="8.88671875" style="4"/>
    <col min="11" max="11" width="9.5546875" style="4" bestFit="1" customWidth="1"/>
    <col min="12" max="12" width="8.88671875" style="4"/>
    <col min="13" max="13" width="11.88671875" style="4" customWidth="1"/>
    <col min="14" max="14" width="11.33203125" style="4" customWidth="1"/>
    <col min="15" max="16384" width="8.88671875" style="4"/>
  </cols>
  <sheetData>
    <row r="1" spans="1:2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</row>
    <row r="2" spans="1:2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</row>
    <row r="3" spans="1:2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</row>
    <row r="4" spans="1:2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</row>
    <row r="5" spans="1:2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</row>
    <row r="6" spans="1:2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</row>
    <row r="7" spans="1:2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</row>
    <row r="8" spans="1:2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</row>
    <row r="9" spans="1:23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</row>
    <row r="10" spans="1:23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</row>
    <row r="11" spans="1:23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</row>
    <row r="12" spans="1:23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</row>
    <row r="13" spans="1:23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</row>
    <row r="14" spans="1:23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</row>
    <row r="15" spans="1:23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</row>
    <row r="16" spans="1:23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</row>
    <row r="17" spans="1:23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</row>
    <row r="18" spans="1:23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</row>
    <row r="19" spans="1:23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0" spans="1:23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</row>
    <row r="21" spans="1:23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</row>
    <row r="22" spans="1:23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</row>
    <row r="23" spans="1:23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</row>
    <row r="24" spans="1:23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</row>
    <row r="25" spans="1:23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</row>
    <row r="26" spans="1:23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</row>
    <row r="27" spans="1:23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</row>
    <row r="28" spans="1:23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</row>
    <row r="29" spans="1:23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</row>
    <row r="30" spans="1:23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</row>
    <row r="31" spans="1:23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</row>
    <row r="32" spans="1:23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</row>
    <row r="33" spans="1:23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</row>
    <row r="34" spans="1:23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</row>
    <row r="35" spans="1:23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</row>
    <row r="36" spans="1:23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</row>
    <row r="37" spans="1:23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</row>
    <row r="38" spans="1:23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</row>
    <row r="39" spans="1:23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</row>
    <row r="40" spans="1:23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</row>
    <row r="41" spans="1:23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</row>
    <row r="42" spans="1:23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</row>
    <row r="43" spans="1:23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</row>
    <row r="44" spans="1:23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</row>
    <row r="45" spans="1:23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</row>
    <row r="46" spans="1:23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</row>
    <row r="47" spans="1:23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</row>
    <row r="48" spans="1:23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</row>
    <row r="49" spans="1:23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</row>
    <row r="50" spans="1:23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</row>
    <row r="51" spans="1:23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</row>
    <row r="52" spans="1:23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</row>
    <row r="53" spans="1:23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</row>
    <row r="54" spans="1:23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</row>
    <row r="55" spans="1:23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</row>
    <row r="56" spans="1:23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</row>
    <row r="57" spans="1:23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</row>
    <row r="58" spans="1:23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</row>
    <row r="59" spans="1:2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</row>
    <row r="60" spans="1:2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</row>
    <row r="61" spans="1:23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</row>
    <row r="62" spans="1:23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</row>
    <row r="63" spans="1:23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</row>
    <row r="64" spans="1:23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</row>
    <row r="65" spans="1:23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</row>
    <row r="66" spans="1:23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</row>
    <row r="67" spans="1:23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</row>
    <row r="68" spans="1:23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</row>
    <row r="69" spans="1:23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</row>
    <row r="70" spans="1:2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</row>
    <row r="71" spans="1:23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</row>
    <row r="72" spans="1:23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</row>
    <row r="73" spans="1:23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</row>
    <row r="74" spans="1:23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</row>
    <row r="75" spans="1:2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</row>
    <row r="76" spans="1:2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</row>
    <row r="77" spans="1:23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</row>
    <row r="78" spans="1:23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</row>
    <row r="79" spans="1:2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</row>
    <row r="80" spans="1:2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</row>
    <row r="81" spans="1:2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</row>
    <row r="82" spans="1:2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</row>
    <row r="83" spans="1:2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</row>
    <row r="84" spans="1:2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</row>
    <row r="85" spans="1:23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</row>
    <row r="86" spans="1:23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</row>
    <row r="87" spans="1:23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</row>
    <row r="88" spans="1:23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</row>
    <row r="89" spans="1:2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</row>
    <row r="90" spans="1:23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</row>
    <row r="91" spans="1:23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</row>
    <row r="92" spans="1:2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</row>
    <row r="93" spans="1:23" ht="16.2" customHeigh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</row>
    <row r="94" spans="1:23" ht="16.2" customHeigh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</row>
    <row r="95" spans="1:23" ht="16.2" customHeigh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</row>
    <row r="96" spans="1:23" ht="16.2" customHeigh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</row>
    <row r="97" spans="1:23" ht="16.2" customHeigh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</row>
    <row r="98" spans="1:23" ht="16.2" customHeigh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print="0" autoLine="0" autoPict="0" r:id="rId5">
            <anchor>
              <from>
                <xdr:col>16</xdr:col>
                <xdr:colOff>251460</xdr:colOff>
                <xdr:row>4</xdr:row>
                <xdr:rowOff>53340</xdr:rowOff>
              </from>
              <to>
                <xdr:col>18</xdr:col>
                <xdr:colOff>342900</xdr:colOff>
                <xdr:row>8</xdr:row>
                <xdr:rowOff>45720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2:I8"/>
  <sheetViews>
    <sheetView workbookViewId="0">
      <selection activeCell="H11" sqref="H11"/>
    </sheetView>
  </sheetViews>
  <sheetFormatPr defaultRowHeight="13.8"/>
  <cols>
    <col min="1" max="1" width="5.6640625" style="3" bestFit="1" customWidth="1"/>
    <col min="2" max="13" width="5.6640625" bestFit="1" customWidth="1"/>
  </cols>
  <sheetData>
    <row r="2" spans="1:9" s="3" customFormat="1">
      <c r="A2"/>
      <c r="B2"/>
      <c r="C2"/>
      <c r="D2"/>
      <c r="E2"/>
      <c r="F2"/>
      <c r="G2"/>
      <c r="H2"/>
      <c r="I2"/>
    </row>
    <row r="3" spans="1:9">
      <c r="A3"/>
    </row>
    <row r="4" spans="1:9">
      <c r="A4"/>
    </row>
    <row r="5" spans="1:9">
      <c r="A5"/>
    </row>
    <row r="6" spans="1:9">
      <c r="A6"/>
    </row>
    <row r="7" spans="1:9">
      <c r="A7"/>
    </row>
    <row r="8" spans="1:9" ht="11.4" customHeight="1">
      <c r="A8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4" r:id="rId4" name="transposition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7620</xdr:rowOff>
              </from>
              <to>
                <xdr:col>2</xdr:col>
                <xdr:colOff>137160</xdr:colOff>
                <xdr:row>1</xdr:row>
                <xdr:rowOff>45720</xdr:rowOff>
              </to>
            </anchor>
          </controlPr>
        </control>
      </mc:Choice>
      <mc:Fallback>
        <control shapeId="18434" r:id="rId4" name="transpositi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E5"/>
  <sheetViews>
    <sheetView zoomScale="85" zoomScaleNormal="85" workbookViewId="0">
      <selection activeCell="B2" sqref="B2:D3"/>
    </sheetView>
  </sheetViews>
  <sheetFormatPr defaultRowHeight="13.8"/>
  <cols>
    <col min="1" max="1" width="10" style="3" bestFit="1" customWidth="1"/>
    <col min="2" max="7" width="10.33203125" bestFit="1" customWidth="1"/>
  </cols>
  <sheetData>
    <row r="1" spans="1:5" ht="28.2" customHeight="1">
      <c r="A1"/>
    </row>
    <row r="2" spans="1:5" s="3" customFormat="1">
      <c r="A2"/>
      <c r="B2"/>
      <c r="C2"/>
      <c r="D2"/>
      <c r="E2"/>
    </row>
    <row r="3" spans="1:5">
      <c r="A3"/>
    </row>
    <row r="4" spans="1:5">
      <c r="A4"/>
    </row>
    <row r="5" spans="1:5">
      <c r="A5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38" r:id="rId4" name="Transpose">
          <controlPr defaultSize="0" print="0" autoFill="0" autoLine="0" autoPict="0" r:id="rId5">
            <anchor moveWithCells="1">
              <from>
                <xdr:col>0</xdr:col>
                <xdr:colOff>0</xdr:colOff>
                <xdr:row>0</xdr:row>
                <xdr:rowOff>30480</xdr:rowOff>
              </from>
              <to>
                <xdr:col>1</xdr:col>
                <xdr:colOff>198120</xdr:colOff>
                <xdr:row>0</xdr:row>
                <xdr:rowOff>297180</xdr:rowOff>
              </to>
            </anchor>
          </controlPr>
        </control>
      </mc:Choice>
      <mc:Fallback>
        <control shapeId="14338" r:id="rId4" name="Transpos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3:A23"/>
  <sheetViews>
    <sheetView workbookViewId="0">
      <selection activeCell="I37" sqref="I37"/>
    </sheetView>
  </sheetViews>
  <sheetFormatPr defaultRowHeight="13.8"/>
  <cols>
    <col min="1" max="16384" width="8.88671875" style="2"/>
  </cols>
  <sheetData>
    <row r="3" spans="1:1">
      <c r="A3" s="2" t="e">
        <f>_xlfn.CONCAT(#REF!)</f>
        <v>#REF!</v>
      </c>
    </row>
    <row r="4" spans="1:1">
      <c r="A4" s="2" t="e">
        <f>_xlfn.CONCAT(#REF!)</f>
        <v>#REF!</v>
      </c>
    </row>
    <row r="5" spans="1:1">
      <c r="A5" s="2" t="e">
        <f>_xlfn.CONCAT(#REF!)</f>
        <v>#REF!</v>
      </c>
    </row>
    <row r="6" spans="1:1">
      <c r="A6" s="2" t="e">
        <f>_xlfn.CONCAT(#REF!)</f>
        <v>#REF!</v>
      </c>
    </row>
    <row r="7" spans="1:1">
      <c r="A7" s="2" t="e">
        <f>_xlfn.CONCAT(#REF!)</f>
        <v>#REF!</v>
      </c>
    </row>
    <row r="8" spans="1:1">
      <c r="A8" s="2" t="e">
        <f>_xlfn.CONCAT(#REF!)</f>
        <v>#REF!</v>
      </c>
    </row>
    <row r="9" spans="1:1" ht="13.8" customHeight="1">
      <c r="A9" s="2" t="e">
        <f>_xlfn.CONCAT(#REF!)</f>
        <v>#REF!</v>
      </c>
    </row>
    <row r="10" spans="1:1" ht="13.8" customHeight="1">
      <c r="A10" s="2" t="e">
        <f>_xlfn.CONCAT(#REF!)</f>
        <v>#REF!</v>
      </c>
    </row>
    <row r="11" spans="1:1">
      <c r="A11" s="2" t="e">
        <f>_xlfn.CONCAT(#REF!)</f>
        <v>#REF!</v>
      </c>
    </row>
    <row r="12" spans="1:1">
      <c r="A12" s="2" t="e">
        <f>_xlfn.CONCAT(#REF!)</f>
        <v>#REF!</v>
      </c>
    </row>
    <row r="23" customFormat="1"/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3" r:id="rId3" name="ANOVA_marker_copy">
          <controlPr defaultSize="0" autoLine="0" r:id="rId4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1</xdr:col>
                <xdr:colOff>53340</xdr:colOff>
                <xdr:row>3</xdr:row>
                <xdr:rowOff>152400</xdr:rowOff>
              </to>
            </anchor>
          </controlPr>
        </control>
      </mc:Choice>
      <mc:Fallback>
        <control shapeId="10253" r:id="rId3" name="ANOVA_marker_copy"/>
      </mc:Fallback>
    </mc:AlternateContent>
    <mc:AlternateContent xmlns:mc="http://schemas.openxmlformats.org/markup-compatibility/2006">
      <mc:Choice Requires="x14">
        <control shapeId="10252" r:id="rId5" name="ANOVA_marker_clear">
          <controlPr defaultSize="0" autoLine="0" r:id="rId6">
            <anchor moveWithCells="1">
              <from>
                <xdr:col>0</xdr:col>
                <xdr:colOff>0</xdr:colOff>
                <xdr:row>1</xdr:row>
                <xdr:rowOff>22860</xdr:rowOff>
              </from>
              <to>
                <xdr:col>1</xdr:col>
                <xdr:colOff>76200</xdr:colOff>
                <xdr:row>2</xdr:row>
                <xdr:rowOff>129540</xdr:rowOff>
              </to>
            </anchor>
          </controlPr>
        </control>
      </mc:Choice>
      <mc:Fallback>
        <control shapeId="10252" r:id="rId5" name="ANOVA_marker_clear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21:R95"/>
  <sheetViews>
    <sheetView zoomScale="85" zoomScaleNormal="85" workbookViewId="0">
      <selection activeCell="A31" sqref="A31:E41"/>
    </sheetView>
  </sheetViews>
  <sheetFormatPr defaultRowHeight="13.8"/>
  <sheetData>
    <row r="21" ht="16.2" customHeight="1"/>
    <row r="22" ht="16.2" customHeight="1"/>
    <row r="23" ht="16.2" customHeight="1"/>
    <row r="24" ht="16.2" customHeight="1"/>
    <row r="25" ht="16.2" customHeight="1"/>
    <row r="26" ht="16.2" customHeight="1"/>
    <row r="27" ht="16.2" customHeight="1"/>
    <row r="28" ht="16.2" customHeight="1"/>
    <row r="61" s="3" customFormat="1"/>
    <row r="91" spans="1:18">
      <c r="A91" t="s">
        <v>3</v>
      </c>
      <c r="D91" t="s">
        <v>4</v>
      </c>
      <c r="G91" t="s">
        <v>5</v>
      </c>
      <c r="J91" t="s">
        <v>6</v>
      </c>
      <c r="M91" t="s">
        <v>7</v>
      </c>
      <c r="P91" t="s">
        <v>8</v>
      </c>
    </row>
    <row r="92" spans="1:18">
      <c r="A92">
        <v>58.52</v>
      </c>
      <c r="B92">
        <v>1.4</v>
      </c>
      <c r="C92" t="s">
        <v>0</v>
      </c>
      <c r="D92">
        <v>30.01</v>
      </c>
      <c r="E92">
        <v>0.13</v>
      </c>
      <c r="F92" t="s">
        <v>9</v>
      </c>
      <c r="G92">
        <v>30.04</v>
      </c>
      <c r="H92">
        <v>0.28000000000000003</v>
      </c>
      <c r="I92" t="s">
        <v>9</v>
      </c>
      <c r="J92">
        <v>25.03</v>
      </c>
      <c r="K92">
        <v>3.18</v>
      </c>
      <c r="L92" t="s">
        <v>1</v>
      </c>
      <c r="M92">
        <v>32.36</v>
      </c>
      <c r="N92">
        <v>1.93</v>
      </c>
      <c r="O92" t="s">
        <v>9</v>
      </c>
      <c r="P92">
        <v>25.02</v>
      </c>
      <c r="Q92">
        <v>1.2</v>
      </c>
      <c r="R92" t="s">
        <v>1</v>
      </c>
    </row>
    <row r="93" spans="1:18">
      <c r="A93">
        <v>121.6</v>
      </c>
      <c r="B93">
        <v>1.45</v>
      </c>
      <c r="C93" t="s">
        <v>0</v>
      </c>
      <c r="D93">
        <v>23.4</v>
      </c>
      <c r="E93">
        <v>2.41</v>
      </c>
      <c r="F93" t="s">
        <v>10</v>
      </c>
      <c r="G93">
        <v>37.46</v>
      </c>
      <c r="H93">
        <v>3.17</v>
      </c>
      <c r="I93" t="s">
        <v>14</v>
      </c>
      <c r="J93">
        <v>44.84</v>
      </c>
      <c r="K93">
        <v>0.18</v>
      </c>
      <c r="L93" t="s">
        <v>12</v>
      </c>
      <c r="M93">
        <v>58.71</v>
      </c>
      <c r="N93">
        <v>1.06</v>
      </c>
      <c r="O93" t="s">
        <v>15</v>
      </c>
      <c r="P93">
        <v>62.48</v>
      </c>
      <c r="Q93">
        <v>2.2999999999999998</v>
      </c>
      <c r="R93" t="s">
        <v>15</v>
      </c>
    </row>
    <row r="94" spans="1:18">
      <c r="A94">
        <v>7.51</v>
      </c>
      <c r="B94">
        <v>0.37</v>
      </c>
      <c r="C94" t="s">
        <v>0</v>
      </c>
      <c r="D94">
        <v>4.79</v>
      </c>
      <c r="E94">
        <v>0.25</v>
      </c>
      <c r="F94" t="s">
        <v>13</v>
      </c>
      <c r="G94">
        <v>4.3600000000000003</v>
      </c>
      <c r="H94">
        <v>0.16</v>
      </c>
      <c r="I94" t="s">
        <v>15</v>
      </c>
      <c r="J94">
        <v>4.3099999999999996</v>
      </c>
      <c r="K94">
        <v>0.03</v>
      </c>
      <c r="L94" t="s">
        <v>15</v>
      </c>
      <c r="M94">
        <v>4.16</v>
      </c>
      <c r="N94">
        <v>0.04</v>
      </c>
      <c r="O94" t="s">
        <v>15</v>
      </c>
      <c r="P94">
        <v>4.26</v>
      </c>
      <c r="Q94">
        <v>0.02</v>
      </c>
      <c r="R94" t="s">
        <v>15</v>
      </c>
    </row>
    <row r="95" spans="1:18">
      <c r="A95">
        <v>0.28999999999999998</v>
      </c>
      <c r="B95">
        <v>0.01</v>
      </c>
      <c r="C95" t="s">
        <v>10</v>
      </c>
      <c r="D95">
        <v>2.86</v>
      </c>
      <c r="E95">
        <v>0.25</v>
      </c>
      <c r="F95" t="s">
        <v>0</v>
      </c>
      <c r="G95">
        <v>1.85</v>
      </c>
      <c r="H95">
        <v>0.13</v>
      </c>
      <c r="I95" t="s">
        <v>2</v>
      </c>
      <c r="J95">
        <v>1.59</v>
      </c>
      <c r="K95">
        <v>0.02</v>
      </c>
      <c r="L95" t="s">
        <v>9</v>
      </c>
      <c r="M95">
        <v>1.25</v>
      </c>
      <c r="N95">
        <v>0.01</v>
      </c>
      <c r="O95" t="s">
        <v>13</v>
      </c>
      <c r="P95">
        <v>1.1499999999999999</v>
      </c>
      <c r="Q95">
        <v>0.05</v>
      </c>
      <c r="R95" t="s">
        <v>11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91" r:id="rId3" name="CommandButton1">
          <controlPr defaultSize="0" print="0" autoLine="0" r:id="rId4">
            <anchor moveWithCells="1">
              <from>
                <xdr:col>0</xdr:col>
                <xdr:colOff>0</xdr:colOff>
                <xdr:row>13</xdr:row>
                <xdr:rowOff>99060</xdr:rowOff>
              </from>
              <to>
                <xdr:col>1</xdr:col>
                <xdr:colOff>205740</xdr:colOff>
                <xdr:row>15</xdr:row>
                <xdr:rowOff>152400</xdr:rowOff>
              </to>
            </anchor>
          </controlPr>
        </control>
      </mc:Choice>
      <mc:Fallback>
        <control shapeId="12291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1"/>
  <dimension ref="A1:C3"/>
  <sheetViews>
    <sheetView workbookViewId="0">
      <selection activeCell="C4" sqref="C4"/>
    </sheetView>
  </sheetViews>
  <sheetFormatPr defaultRowHeight="13.8"/>
  <cols>
    <col min="1" max="16384" width="8.88671875" style="2"/>
  </cols>
  <sheetData>
    <row r="1" spans="1:3">
      <c r="B1" s="16" t="s">
        <v>89</v>
      </c>
      <c r="C1" s="16" t="s">
        <v>91</v>
      </c>
    </row>
    <row r="2" spans="1:3" ht="13.8" customHeight="1">
      <c r="A2" s="16" t="s">
        <v>88</v>
      </c>
      <c r="B2" s="2">
        <v>123</v>
      </c>
      <c r="C2" s="16">
        <v>432</v>
      </c>
    </row>
    <row r="3" spans="1:3">
      <c r="A3" s="16" t="s">
        <v>90</v>
      </c>
      <c r="B3" s="2">
        <v>321</v>
      </c>
      <c r="C3" s="2">
        <v>432</v>
      </c>
    </row>
  </sheetData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D2BF7-06E0-40AB-8C3B-590F017C8A37}">
  <sheetPr codeName="Sheet9"/>
  <dimension ref="A1:Q35"/>
  <sheetViews>
    <sheetView topLeftCell="A7" workbookViewId="0">
      <selection activeCell="L25" sqref="L25"/>
    </sheetView>
  </sheetViews>
  <sheetFormatPr defaultRowHeight="13.8"/>
  <cols>
    <col min="5" max="10" width="11.77734375" customWidth="1"/>
  </cols>
  <sheetData>
    <row r="1" spans="1:17" ht="16.8" thickBot="1">
      <c r="A1" t="s">
        <v>87</v>
      </c>
      <c r="J1" s="11" t="s">
        <v>85</v>
      </c>
      <c r="K1" s="11" t="s">
        <v>86</v>
      </c>
      <c r="L1" s="12" t="s">
        <v>24</v>
      </c>
      <c r="M1" s="13" t="s">
        <v>26</v>
      </c>
      <c r="N1" s="14" t="s">
        <v>25</v>
      </c>
      <c r="O1" s="13" t="s">
        <v>27</v>
      </c>
      <c r="P1" s="13" t="s">
        <v>28</v>
      </c>
      <c r="Q1" s="13" t="s">
        <v>29</v>
      </c>
    </row>
    <row r="2" spans="1:17">
      <c r="C2" s="7" t="s">
        <v>60</v>
      </c>
      <c r="D2" s="7" t="s">
        <v>61</v>
      </c>
      <c r="E2" s="7" t="s">
        <v>62</v>
      </c>
      <c r="F2" s="7" t="s">
        <v>63</v>
      </c>
      <c r="G2" s="7" t="s">
        <v>64</v>
      </c>
      <c r="H2" s="7" t="s">
        <v>65</v>
      </c>
      <c r="I2" s="7" t="s">
        <v>66</v>
      </c>
      <c r="J2" s="8" t="s">
        <v>16</v>
      </c>
      <c r="K2" s="7" t="s">
        <v>17</v>
      </c>
      <c r="L2" s="7" t="s">
        <v>18</v>
      </c>
      <c r="M2" t="s">
        <v>20</v>
      </c>
      <c r="N2" t="s">
        <v>19</v>
      </c>
      <c r="O2" t="s">
        <v>21</v>
      </c>
      <c r="P2" t="s">
        <v>22</v>
      </c>
      <c r="Q2" t="s">
        <v>23</v>
      </c>
    </row>
    <row r="3" spans="1:17">
      <c r="C3" s="7" t="s">
        <v>10</v>
      </c>
      <c r="D3" s="7" t="s">
        <v>67</v>
      </c>
      <c r="E3" s="7" t="s">
        <v>68</v>
      </c>
      <c r="F3" s="7" t="s">
        <v>67</v>
      </c>
      <c r="G3" s="7" t="s">
        <v>67</v>
      </c>
      <c r="H3" s="7" t="s">
        <v>67</v>
      </c>
      <c r="I3" s="7" t="s">
        <v>68</v>
      </c>
      <c r="J3" s="8" t="s">
        <v>10</v>
      </c>
      <c r="K3" s="7" t="s">
        <v>10</v>
      </c>
      <c r="L3" s="7" t="s">
        <v>67</v>
      </c>
    </row>
    <row r="4" spans="1:17">
      <c r="C4" s="7" t="s">
        <v>60</v>
      </c>
      <c r="D4" s="7" t="s">
        <v>69</v>
      </c>
      <c r="E4" s="7" t="s">
        <v>70</v>
      </c>
      <c r="F4" s="7" t="s">
        <v>71</v>
      </c>
      <c r="G4" s="7" t="s">
        <v>72</v>
      </c>
      <c r="H4" s="7" t="s">
        <v>73</v>
      </c>
      <c r="I4" s="7" t="s">
        <v>74</v>
      </c>
      <c r="J4" s="8" t="s">
        <v>75</v>
      </c>
      <c r="K4" s="7" t="s">
        <v>76</v>
      </c>
      <c r="L4" s="7" t="s">
        <v>77</v>
      </c>
      <c r="M4" s="5" t="s">
        <v>78</v>
      </c>
      <c r="N4" t="s">
        <v>79</v>
      </c>
      <c r="O4" t="s">
        <v>80</v>
      </c>
      <c r="P4" t="s">
        <v>81</v>
      </c>
      <c r="Q4" t="s">
        <v>82</v>
      </c>
    </row>
    <row r="5" spans="1:17">
      <c r="A5" t="s">
        <v>30</v>
      </c>
      <c r="C5" s="15">
        <v>5561.1469999999999</v>
      </c>
      <c r="D5" s="15">
        <v>38529.167000000001</v>
      </c>
      <c r="E5" s="15">
        <v>12.734999999999999</v>
      </c>
      <c r="F5" s="15">
        <v>49151.106</v>
      </c>
      <c r="G5" s="15">
        <v>10621.939</v>
      </c>
      <c r="H5" s="15">
        <v>31526.821</v>
      </c>
      <c r="I5" s="15">
        <v>10.63</v>
      </c>
      <c r="J5" s="15">
        <v>6200.0550000000003</v>
      </c>
      <c r="K5" s="15"/>
      <c r="L5" s="15">
        <v>-0.92300000000000004</v>
      </c>
      <c r="M5" s="15">
        <v>0.83499999999999996</v>
      </c>
      <c r="N5" s="15">
        <v>0.64100000000000001</v>
      </c>
      <c r="O5" s="15">
        <v>3976.8789999999999</v>
      </c>
      <c r="P5" s="15">
        <v>3319.5309999999999</v>
      </c>
      <c r="Q5" s="15">
        <v>0.27600000000000002</v>
      </c>
    </row>
    <row r="6" spans="1:17">
      <c r="A6" t="s">
        <v>31</v>
      </c>
      <c r="C6" s="15">
        <v>5301.5450000000001</v>
      </c>
      <c r="D6" s="15">
        <v>36894.061000000002</v>
      </c>
      <c r="E6" s="15">
        <v>12.885</v>
      </c>
      <c r="F6" s="15">
        <v>46763.095000000001</v>
      </c>
      <c r="G6" s="15">
        <v>9869.0339999999997</v>
      </c>
      <c r="H6" s="15">
        <v>30178.132000000001</v>
      </c>
      <c r="I6" s="15">
        <v>10.79</v>
      </c>
      <c r="J6" s="15">
        <v>5959.47</v>
      </c>
      <c r="K6" s="15"/>
      <c r="L6" s="15">
        <v>-1.3720000000000001</v>
      </c>
      <c r="M6" s="15">
        <v>0.83699999999999997</v>
      </c>
      <c r="N6" s="15">
        <v>0.64500000000000002</v>
      </c>
      <c r="O6" s="15">
        <v>3845.8890000000001</v>
      </c>
      <c r="P6" s="15">
        <v>3220.578</v>
      </c>
      <c r="Q6" s="15">
        <v>0.26700000000000002</v>
      </c>
    </row>
    <row r="7" spans="1:17">
      <c r="A7" t="s">
        <v>32</v>
      </c>
      <c r="C7" s="15">
        <v>5087.1949999999997</v>
      </c>
      <c r="D7" s="15">
        <v>29225.137999999999</v>
      </c>
      <c r="E7" s="15">
        <v>12.404999999999999</v>
      </c>
      <c r="F7" s="15">
        <v>37606.720999999998</v>
      </c>
      <c r="G7" s="15">
        <v>8381.5820000000003</v>
      </c>
      <c r="H7" s="15">
        <v>27517.025000000001</v>
      </c>
      <c r="I7" s="15">
        <v>11.11</v>
      </c>
      <c r="J7" s="15">
        <v>5492.17</v>
      </c>
      <c r="K7" s="15"/>
      <c r="L7" s="15">
        <v>-0.874</v>
      </c>
      <c r="M7" s="15">
        <v>0.89600000000000002</v>
      </c>
      <c r="N7" s="15">
        <v>0.73199999999999998</v>
      </c>
      <c r="O7" s="15">
        <v>4018.6480000000001</v>
      </c>
      <c r="P7" s="15">
        <v>3599.1280000000002</v>
      </c>
      <c r="Q7" s="15">
        <v>0.28699999999999998</v>
      </c>
    </row>
    <row r="8" spans="1:17">
      <c r="A8" t="s">
        <v>33</v>
      </c>
      <c r="C8" s="15">
        <v>2752.2040000000002</v>
      </c>
      <c r="D8" s="15">
        <v>18600.454000000002</v>
      </c>
      <c r="E8" s="15">
        <v>12.31</v>
      </c>
      <c r="F8" s="15">
        <v>25432.196</v>
      </c>
      <c r="G8" s="15">
        <v>6831.7420000000002</v>
      </c>
      <c r="H8" s="15">
        <v>18409.330999999998</v>
      </c>
      <c r="I8" s="15">
        <v>11.12</v>
      </c>
      <c r="J8" s="15">
        <v>2982.498</v>
      </c>
      <c r="K8" s="15"/>
      <c r="L8" s="15">
        <v>-0.88600000000000001</v>
      </c>
      <c r="M8" s="15">
        <v>0.90300000000000002</v>
      </c>
      <c r="N8" s="15">
        <v>0.72399999999999998</v>
      </c>
      <c r="O8" s="15">
        <v>2158.9090000000001</v>
      </c>
      <c r="P8" s="15">
        <v>1950.2080000000001</v>
      </c>
      <c r="Q8" s="15">
        <v>0.36699999999999999</v>
      </c>
    </row>
    <row r="9" spans="1:17">
      <c r="A9" t="s">
        <v>34</v>
      </c>
      <c r="C9" s="15">
        <v>2850.8380000000002</v>
      </c>
      <c r="D9" s="15">
        <v>19570.944</v>
      </c>
      <c r="E9" s="15">
        <v>12.265000000000001</v>
      </c>
      <c r="F9" s="15">
        <v>26779.362000000001</v>
      </c>
      <c r="G9" s="15">
        <v>7208.4179999999997</v>
      </c>
      <c r="H9" s="15">
        <v>19466.574000000001</v>
      </c>
      <c r="I9" s="15">
        <v>11.055</v>
      </c>
      <c r="J9" s="15">
        <v>3092.654</v>
      </c>
      <c r="K9" s="15"/>
      <c r="L9" s="15">
        <v>-0.79100000000000004</v>
      </c>
      <c r="M9" s="15">
        <v>0.90100000000000002</v>
      </c>
      <c r="N9" s="15">
        <v>0.72699999999999998</v>
      </c>
      <c r="O9" s="15">
        <v>2248.1260000000002</v>
      </c>
      <c r="P9" s="15">
        <v>2026.338</v>
      </c>
      <c r="Q9" s="15">
        <v>0.36799999999999999</v>
      </c>
    </row>
    <row r="10" spans="1:17">
      <c r="A10" t="s">
        <v>35</v>
      </c>
      <c r="C10" s="15">
        <v>2751.2640000000001</v>
      </c>
      <c r="D10" s="15">
        <v>16005.253000000001</v>
      </c>
      <c r="E10" s="15">
        <v>11.885</v>
      </c>
      <c r="F10" s="15">
        <v>21864.851999999999</v>
      </c>
      <c r="G10" s="15">
        <v>5859.598</v>
      </c>
      <c r="H10" s="15">
        <v>16838.082999999999</v>
      </c>
      <c r="I10" s="15">
        <v>10.73</v>
      </c>
      <c r="J10" s="15">
        <v>2941.1959999999999</v>
      </c>
      <c r="K10" s="15"/>
      <c r="L10" s="15">
        <v>-0.93</v>
      </c>
      <c r="M10" s="15">
        <v>0.90300000000000002</v>
      </c>
      <c r="N10" s="15">
        <v>0.77</v>
      </c>
      <c r="O10" s="15">
        <v>2265.009</v>
      </c>
      <c r="P10" s="15">
        <v>2044.893</v>
      </c>
      <c r="Q10" s="15">
        <v>0.36599999999999999</v>
      </c>
    </row>
    <row r="11" spans="1:17">
      <c r="A11" t="s">
        <v>36</v>
      </c>
      <c r="C11" s="15">
        <v>4448.0820000000003</v>
      </c>
      <c r="D11" s="15">
        <v>29704.393</v>
      </c>
      <c r="E11" s="15">
        <v>12.225</v>
      </c>
      <c r="F11" s="15">
        <v>40410.307000000001</v>
      </c>
      <c r="G11" s="15">
        <v>10705.914000000001</v>
      </c>
      <c r="H11" s="15">
        <v>29197.722000000002</v>
      </c>
      <c r="I11" s="15">
        <v>11.33</v>
      </c>
      <c r="J11" s="15">
        <v>4799.326</v>
      </c>
      <c r="K11" s="15"/>
      <c r="L11" s="15">
        <v>-1.6220000000000001</v>
      </c>
      <c r="M11" s="15">
        <v>0.92700000000000005</v>
      </c>
      <c r="N11" s="15">
        <v>0.72299999999999998</v>
      </c>
      <c r="O11" s="15">
        <v>3467.665</v>
      </c>
      <c r="P11" s="15">
        <v>3213.7950000000001</v>
      </c>
      <c r="Q11" s="15">
        <v>0.36</v>
      </c>
    </row>
    <row r="12" spans="1:17">
      <c r="A12" t="s">
        <v>37</v>
      </c>
      <c r="C12" s="15">
        <v>3372.027</v>
      </c>
      <c r="D12" s="15">
        <v>20278.731</v>
      </c>
      <c r="E12" s="15">
        <v>13.315</v>
      </c>
      <c r="F12" s="15">
        <v>28613.123</v>
      </c>
      <c r="G12" s="15">
        <v>8334.393</v>
      </c>
      <c r="H12" s="15">
        <v>21786.350999999999</v>
      </c>
      <c r="I12" s="15">
        <v>10.414999999999999</v>
      </c>
      <c r="J12" s="15">
        <v>3628.2710000000002</v>
      </c>
      <c r="K12" s="15"/>
      <c r="L12" s="15">
        <v>-1.2150000000000001</v>
      </c>
      <c r="M12" s="15">
        <v>0.78200000000000003</v>
      </c>
      <c r="N12" s="15">
        <v>0.76100000000000001</v>
      </c>
      <c r="O12" s="15">
        <v>2762.6060000000002</v>
      </c>
      <c r="P12" s="15">
        <v>2160.9119999999998</v>
      </c>
      <c r="Q12" s="15">
        <v>0.41099999999999998</v>
      </c>
    </row>
    <row r="13" spans="1:17">
      <c r="A13" t="s">
        <v>38</v>
      </c>
      <c r="C13" s="15">
        <v>3680.288</v>
      </c>
      <c r="D13" s="15">
        <v>20150.281999999999</v>
      </c>
      <c r="E13" s="15">
        <v>12.404999999999999</v>
      </c>
      <c r="F13" s="15">
        <v>28107.96</v>
      </c>
      <c r="G13" s="15">
        <v>7957.6779999999999</v>
      </c>
      <c r="H13" s="15">
        <v>22962.166000000001</v>
      </c>
      <c r="I13" s="15">
        <v>11.35</v>
      </c>
      <c r="J13" s="15">
        <v>3848.625</v>
      </c>
      <c r="K13" s="15"/>
      <c r="L13" s="15">
        <v>-1.022</v>
      </c>
      <c r="M13" s="15">
        <v>0.91500000000000004</v>
      </c>
      <c r="N13" s="15">
        <v>0.81699999999999995</v>
      </c>
      <c r="O13" s="15">
        <v>3144.047</v>
      </c>
      <c r="P13" s="15">
        <v>2876.6579999999999</v>
      </c>
      <c r="Q13" s="15">
        <v>0.39500000000000002</v>
      </c>
    </row>
    <row r="14" spans="1:17">
      <c r="A14" t="s">
        <v>39</v>
      </c>
    </row>
    <row r="15" spans="1:17">
      <c r="A15" t="s">
        <v>40</v>
      </c>
    </row>
    <row r="16" spans="1:17">
      <c r="A16" t="s">
        <v>41</v>
      </c>
    </row>
    <row r="17" spans="1:17">
      <c r="A17" t="s">
        <v>42</v>
      </c>
    </row>
    <row r="18" spans="1:17">
      <c r="A18" t="s">
        <v>43</v>
      </c>
    </row>
    <row r="19" spans="1:17">
      <c r="A19" t="s">
        <v>59</v>
      </c>
    </row>
    <row r="20" spans="1:17">
      <c r="C20" s="9" t="s">
        <v>83</v>
      </c>
      <c r="D20" s="9" t="s">
        <v>84</v>
      </c>
      <c r="E20" s="9" t="s">
        <v>68</v>
      </c>
      <c r="F20" s="9" t="s">
        <v>84</v>
      </c>
      <c r="G20" s="9" t="s">
        <v>84</v>
      </c>
      <c r="H20" s="9" t="s">
        <v>84</v>
      </c>
      <c r="I20" s="9" t="s">
        <v>68</v>
      </c>
      <c r="J20" s="10" t="s">
        <v>83</v>
      </c>
      <c r="K20" s="9" t="s">
        <v>83</v>
      </c>
      <c r="L20" s="9" t="s">
        <v>84</v>
      </c>
    </row>
    <row r="21" spans="1:17">
      <c r="A21" t="s">
        <v>44</v>
      </c>
      <c r="C21">
        <f>ROUND(C5*0.0098,3)</f>
        <v>54.499000000000002</v>
      </c>
      <c r="D21">
        <f>ROUND(D5*0.0098,30)</f>
        <v>377.58583659999999</v>
      </c>
      <c r="E21">
        <f>E5</f>
        <v>12.734999999999999</v>
      </c>
      <c r="F21">
        <f>ROUND(F5*0.0098,3)</f>
        <v>481.68099999999998</v>
      </c>
      <c r="G21">
        <f>ROUND(G5*0.0098,3)</f>
        <v>104.095</v>
      </c>
      <c r="H21">
        <f>ROUND(H5*0.0098,3)</f>
        <v>308.96300000000002</v>
      </c>
      <c r="I21">
        <f>I5</f>
        <v>10.63</v>
      </c>
      <c r="J21" s="6">
        <f>ROUND(J5*0.0098,3)</f>
        <v>60.761000000000003</v>
      </c>
      <c r="L21">
        <f>-ROUND(L5*0.0098,3)</f>
        <v>8.9999999999999993E-3</v>
      </c>
      <c r="M21">
        <f>ROUND(I21/E21,3)</f>
        <v>0.83499999999999996</v>
      </c>
      <c r="N21">
        <f>ROUND(H21/F21,3)</f>
        <v>0.64100000000000001</v>
      </c>
      <c r="O21">
        <f>ROUND(J21*N21,3)</f>
        <v>38.948</v>
      </c>
      <c r="P21">
        <f>ROUND(O21*M21,3)</f>
        <v>32.521999999999998</v>
      </c>
      <c r="Q21">
        <f>ROUND(G21/D21,3)</f>
        <v>0.27600000000000002</v>
      </c>
    </row>
    <row r="22" spans="1:17">
      <c r="A22" t="s">
        <v>45</v>
      </c>
      <c r="C22">
        <f t="shared" ref="C22:C35" si="0">ROUND(C6*0.0098,3)</f>
        <v>51.954999999999998</v>
      </c>
      <c r="D22">
        <f t="shared" ref="D22:D35" si="1">ROUND(D6*0.0098,30)</f>
        <v>361.56179780000002</v>
      </c>
      <c r="E22">
        <f t="shared" ref="E22:E35" si="2">E6</f>
        <v>12.885</v>
      </c>
      <c r="F22">
        <f t="shared" ref="F22:H22" si="3">ROUND(F6*0.0098,3)</f>
        <v>458.27800000000002</v>
      </c>
      <c r="G22">
        <f t="shared" si="3"/>
        <v>96.716999999999999</v>
      </c>
      <c r="H22">
        <f t="shared" si="3"/>
        <v>295.74599999999998</v>
      </c>
      <c r="I22">
        <f t="shared" ref="I22:I35" si="4">I6</f>
        <v>10.79</v>
      </c>
      <c r="J22" s="6">
        <f t="shared" ref="J22:J35" si="5">ROUND(J6*0.0098,3)</f>
        <v>58.402999999999999</v>
      </c>
      <c r="L22">
        <f t="shared" ref="L22:L28" si="6">-ROUND(L6*0.0098,3)</f>
        <v>1.2999999999999999E-2</v>
      </c>
      <c r="M22">
        <f t="shared" ref="M22:M35" si="7">ROUND(I22/E22,3)</f>
        <v>0.83699999999999997</v>
      </c>
      <c r="N22">
        <f t="shared" ref="N22:N35" si="8">ROUND(H22/F22,3)</f>
        <v>0.64500000000000002</v>
      </c>
      <c r="O22">
        <f t="shared" ref="O22:O35" si="9">ROUND(J22*N22,3)</f>
        <v>37.67</v>
      </c>
      <c r="P22">
        <f t="shared" ref="P22:P35" si="10">ROUND(O22*M22,3)</f>
        <v>31.53</v>
      </c>
      <c r="Q22">
        <f t="shared" ref="Q22:Q35" si="11">ROUND(G22/D22,3)</f>
        <v>0.26700000000000002</v>
      </c>
    </row>
    <row r="23" spans="1:17">
      <c r="A23" t="s">
        <v>46</v>
      </c>
      <c r="C23">
        <f t="shared" si="0"/>
        <v>49.854999999999997</v>
      </c>
      <c r="D23">
        <f t="shared" si="1"/>
        <v>286.4063524</v>
      </c>
      <c r="E23">
        <f t="shared" si="2"/>
        <v>12.404999999999999</v>
      </c>
      <c r="F23">
        <f t="shared" ref="F23:H23" si="12">ROUND(F7*0.0098,3)</f>
        <v>368.54599999999999</v>
      </c>
      <c r="G23">
        <f t="shared" si="12"/>
        <v>82.14</v>
      </c>
      <c r="H23">
        <f t="shared" si="12"/>
        <v>269.66699999999997</v>
      </c>
      <c r="I23">
        <f t="shared" si="4"/>
        <v>11.11</v>
      </c>
      <c r="J23" s="6">
        <f t="shared" si="5"/>
        <v>53.823</v>
      </c>
      <c r="L23">
        <f t="shared" si="6"/>
        <v>8.9999999999999993E-3</v>
      </c>
      <c r="M23">
        <f t="shared" si="7"/>
        <v>0.89600000000000002</v>
      </c>
      <c r="N23">
        <f t="shared" si="8"/>
        <v>0.73199999999999998</v>
      </c>
      <c r="O23">
        <f t="shared" si="9"/>
        <v>39.398000000000003</v>
      </c>
      <c r="P23">
        <f t="shared" si="10"/>
        <v>35.301000000000002</v>
      </c>
      <c r="Q23">
        <f t="shared" si="11"/>
        <v>0.28699999999999998</v>
      </c>
    </row>
    <row r="24" spans="1:17">
      <c r="A24" t="s">
        <v>47</v>
      </c>
      <c r="C24">
        <f t="shared" si="0"/>
        <v>26.972000000000001</v>
      </c>
      <c r="D24">
        <f t="shared" si="1"/>
        <v>182.28444920000001</v>
      </c>
      <c r="E24">
        <f t="shared" si="2"/>
        <v>12.31</v>
      </c>
      <c r="F24">
        <f t="shared" ref="F24:H24" si="13">ROUND(F8*0.0098,3)</f>
        <v>249.23599999999999</v>
      </c>
      <c r="G24">
        <f t="shared" si="13"/>
        <v>66.950999999999993</v>
      </c>
      <c r="H24">
        <f t="shared" si="13"/>
        <v>180.411</v>
      </c>
      <c r="I24">
        <f t="shared" si="4"/>
        <v>11.12</v>
      </c>
      <c r="J24" s="6">
        <f t="shared" si="5"/>
        <v>29.228000000000002</v>
      </c>
      <c r="L24">
        <f t="shared" si="6"/>
        <v>8.9999999999999993E-3</v>
      </c>
      <c r="M24">
        <f t="shared" si="7"/>
        <v>0.90300000000000002</v>
      </c>
      <c r="N24">
        <f t="shared" si="8"/>
        <v>0.72399999999999998</v>
      </c>
      <c r="O24">
        <f t="shared" si="9"/>
        <v>21.161000000000001</v>
      </c>
      <c r="P24">
        <f t="shared" si="10"/>
        <v>19.108000000000001</v>
      </c>
      <c r="Q24">
        <f t="shared" si="11"/>
        <v>0.36699999999999999</v>
      </c>
    </row>
    <row r="25" spans="1:17">
      <c r="A25" t="s">
        <v>48</v>
      </c>
      <c r="C25">
        <f t="shared" si="0"/>
        <v>27.937999999999999</v>
      </c>
      <c r="D25">
        <f t="shared" si="1"/>
        <v>191.7952512</v>
      </c>
      <c r="E25">
        <f t="shared" si="2"/>
        <v>12.265000000000001</v>
      </c>
      <c r="F25">
        <f t="shared" ref="F25:H25" si="14">ROUND(F9*0.0098,3)</f>
        <v>262.43799999999999</v>
      </c>
      <c r="G25">
        <f t="shared" si="14"/>
        <v>70.641999999999996</v>
      </c>
      <c r="H25">
        <f t="shared" si="14"/>
        <v>190.77199999999999</v>
      </c>
      <c r="I25">
        <f t="shared" si="4"/>
        <v>11.055</v>
      </c>
      <c r="J25" s="6">
        <f t="shared" si="5"/>
        <v>30.308</v>
      </c>
      <c r="L25">
        <f t="shared" si="6"/>
        <v>8.0000000000000002E-3</v>
      </c>
      <c r="M25">
        <f t="shared" si="7"/>
        <v>0.90100000000000002</v>
      </c>
      <c r="N25">
        <f t="shared" si="8"/>
        <v>0.72699999999999998</v>
      </c>
      <c r="O25">
        <f t="shared" si="9"/>
        <v>22.033999999999999</v>
      </c>
      <c r="P25">
        <f t="shared" si="10"/>
        <v>19.853000000000002</v>
      </c>
      <c r="Q25">
        <f t="shared" si="11"/>
        <v>0.36799999999999999</v>
      </c>
    </row>
    <row r="26" spans="1:17">
      <c r="A26" t="s">
        <v>49</v>
      </c>
      <c r="C26">
        <f t="shared" si="0"/>
        <v>26.962</v>
      </c>
      <c r="D26">
        <f t="shared" si="1"/>
        <v>156.85147939999999</v>
      </c>
      <c r="E26">
        <f t="shared" si="2"/>
        <v>11.885</v>
      </c>
      <c r="F26">
        <f t="shared" ref="F26:H26" si="15">ROUND(F10*0.0098,3)</f>
        <v>214.27600000000001</v>
      </c>
      <c r="G26">
        <f t="shared" si="15"/>
        <v>57.423999999999999</v>
      </c>
      <c r="H26">
        <f t="shared" si="15"/>
        <v>165.01300000000001</v>
      </c>
      <c r="I26">
        <f t="shared" si="4"/>
        <v>10.73</v>
      </c>
      <c r="J26" s="6">
        <f t="shared" si="5"/>
        <v>28.824000000000002</v>
      </c>
      <c r="L26">
        <f t="shared" si="6"/>
        <v>8.9999999999999993E-3</v>
      </c>
      <c r="M26">
        <f t="shared" si="7"/>
        <v>0.90300000000000002</v>
      </c>
      <c r="N26">
        <f t="shared" si="8"/>
        <v>0.77</v>
      </c>
      <c r="O26">
        <f t="shared" si="9"/>
        <v>22.193999999999999</v>
      </c>
      <c r="P26">
        <f t="shared" si="10"/>
        <v>20.041</v>
      </c>
      <c r="Q26">
        <f t="shared" si="11"/>
        <v>0.36599999999999999</v>
      </c>
    </row>
    <row r="27" spans="1:17">
      <c r="A27" t="s">
        <v>50</v>
      </c>
      <c r="C27">
        <f t="shared" si="0"/>
        <v>43.591000000000001</v>
      </c>
      <c r="D27">
        <f t="shared" si="1"/>
        <v>291.10305140000003</v>
      </c>
      <c r="E27">
        <f t="shared" si="2"/>
        <v>12.225</v>
      </c>
      <c r="F27">
        <f t="shared" ref="F27:H27" si="16">ROUND(F11*0.0098,3)</f>
        <v>396.02100000000002</v>
      </c>
      <c r="G27">
        <f t="shared" si="16"/>
        <v>104.91800000000001</v>
      </c>
      <c r="H27">
        <f t="shared" si="16"/>
        <v>286.13799999999998</v>
      </c>
      <c r="I27">
        <f t="shared" si="4"/>
        <v>11.33</v>
      </c>
      <c r="J27" s="6">
        <f t="shared" si="5"/>
        <v>47.033000000000001</v>
      </c>
      <c r="L27">
        <f t="shared" si="6"/>
        <v>1.6E-2</v>
      </c>
      <c r="M27">
        <f t="shared" si="7"/>
        <v>0.92700000000000005</v>
      </c>
      <c r="N27">
        <f t="shared" si="8"/>
        <v>0.72299999999999998</v>
      </c>
      <c r="O27">
        <f t="shared" si="9"/>
        <v>34.005000000000003</v>
      </c>
      <c r="P27">
        <f t="shared" si="10"/>
        <v>31.523</v>
      </c>
      <c r="Q27">
        <f t="shared" si="11"/>
        <v>0.36</v>
      </c>
    </row>
    <row r="28" spans="1:17">
      <c r="A28" t="s">
        <v>51</v>
      </c>
      <c r="C28">
        <f t="shared" si="0"/>
        <v>33.045999999999999</v>
      </c>
      <c r="D28">
        <f t="shared" si="1"/>
        <v>198.7315638</v>
      </c>
      <c r="E28">
        <f t="shared" si="2"/>
        <v>13.315</v>
      </c>
      <c r="F28">
        <f t="shared" ref="F28:H28" si="17">ROUND(F12*0.0098,3)</f>
        <v>280.40899999999999</v>
      </c>
      <c r="G28">
        <f t="shared" si="17"/>
        <v>81.677000000000007</v>
      </c>
      <c r="H28">
        <f t="shared" si="17"/>
        <v>213.506</v>
      </c>
      <c r="I28">
        <f t="shared" si="4"/>
        <v>10.414999999999999</v>
      </c>
      <c r="J28" s="6">
        <f t="shared" si="5"/>
        <v>35.557000000000002</v>
      </c>
      <c r="L28">
        <f t="shared" si="6"/>
        <v>1.2E-2</v>
      </c>
      <c r="M28">
        <f t="shared" si="7"/>
        <v>0.78200000000000003</v>
      </c>
      <c r="N28">
        <f t="shared" si="8"/>
        <v>0.76100000000000001</v>
      </c>
      <c r="O28">
        <f t="shared" si="9"/>
        <v>27.059000000000001</v>
      </c>
      <c r="P28">
        <f t="shared" si="10"/>
        <v>21.16</v>
      </c>
      <c r="Q28">
        <f t="shared" si="11"/>
        <v>0.41099999999999998</v>
      </c>
    </row>
    <row r="29" spans="1:17">
      <c r="A29" t="s">
        <v>52</v>
      </c>
      <c r="C29">
        <f>ROUND(C13*0.0098,3)</f>
        <v>36.067</v>
      </c>
      <c r="D29">
        <f>ROUND(D13*0.0098,30)</f>
        <v>197.47276360000001</v>
      </c>
      <c r="E29">
        <f>E13</f>
        <v>12.404999999999999</v>
      </c>
      <c r="F29">
        <f>ROUND(F13*0.0098,3)</f>
        <v>275.45800000000003</v>
      </c>
      <c r="G29">
        <f>ROUND(G13*0.0098,3)</f>
        <v>77.984999999999999</v>
      </c>
      <c r="H29">
        <f>ROUND(H13*0.0098,3)</f>
        <v>225.029</v>
      </c>
      <c r="I29">
        <f>I13</f>
        <v>11.35</v>
      </c>
      <c r="J29" s="6">
        <f t="shared" si="5"/>
        <v>37.716999999999999</v>
      </c>
      <c r="L29">
        <f t="shared" ref="L29:L35" si="18">ROUND(L13*0.0098,3)</f>
        <v>-0.01</v>
      </c>
      <c r="M29">
        <f t="shared" si="7"/>
        <v>0.91500000000000004</v>
      </c>
      <c r="N29">
        <f t="shared" si="8"/>
        <v>0.81699999999999995</v>
      </c>
      <c r="O29">
        <f t="shared" si="9"/>
        <v>30.815000000000001</v>
      </c>
      <c r="P29">
        <f t="shared" si="10"/>
        <v>28.196000000000002</v>
      </c>
      <c r="Q29">
        <f t="shared" si="11"/>
        <v>0.39500000000000002</v>
      </c>
    </row>
    <row r="30" spans="1:17">
      <c r="A30" t="s">
        <v>53</v>
      </c>
      <c r="C30">
        <f t="shared" si="0"/>
        <v>0</v>
      </c>
      <c r="D30">
        <f t="shared" si="1"/>
        <v>0</v>
      </c>
      <c r="E30">
        <f t="shared" si="2"/>
        <v>0</v>
      </c>
      <c r="F30">
        <f t="shared" ref="F30:H30" si="19">ROUND(F14*0.0098,3)</f>
        <v>0</v>
      </c>
      <c r="G30">
        <f t="shared" si="19"/>
        <v>0</v>
      </c>
      <c r="H30">
        <f t="shared" si="19"/>
        <v>0</v>
      </c>
      <c r="I30">
        <f t="shared" si="4"/>
        <v>0</v>
      </c>
      <c r="J30" s="6">
        <f t="shared" si="5"/>
        <v>0</v>
      </c>
      <c r="L30">
        <f t="shared" si="18"/>
        <v>0</v>
      </c>
      <c r="M30" t="e">
        <f t="shared" si="7"/>
        <v>#DIV/0!</v>
      </c>
      <c r="N30" t="e">
        <f t="shared" si="8"/>
        <v>#DIV/0!</v>
      </c>
      <c r="O30" t="e">
        <f t="shared" si="9"/>
        <v>#DIV/0!</v>
      </c>
      <c r="P30" t="e">
        <f t="shared" si="10"/>
        <v>#DIV/0!</v>
      </c>
      <c r="Q30" t="e">
        <f t="shared" si="11"/>
        <v>#DIV/0!</v>
      </c>
    </row>
    <row r="31" spans="1:17">
      <c r="A31" t="s">
        <v>54</v>
      </c>
      <c r="C31">
        <f t="shared" si="0"/>
        <v>0</v>
      </c>
      <c r="D31">
        <f t="shared" si="1"/>
        <v>0</v>
      </c>
      <c r="E31">
        <f t="shared" si="2"/>
        <v>0</v>
      </c>
      <c r="F31">
        <f t="shared" ref="F31:H31" si="20">ROUND(F15*0.0098,3)</f>
        <v>0</v>
      </c>
      <c r="G31">
        <f t="shared" si="20"/>
        <v>0</v>
      </c>
      <c r="H31">
        <f t="shared" si="20"/>
        <v>0</v>
      </c>
      <c r="I31">
        <f t="shared" si="4"/>
        <v>0</v>
      </c>
      <c r="J31" s="6">
        <f t="shared" si="5"/>
        <v>0</v>
      </c>
      <c r="L31">
        <f t="shared" si="18"/>
        <v>0</v>
      </c>
      <c r="M31" t="e">
        <f t="shared" si="7"/>
        <v>#DIV/0!</v>
      </c>
      <c r="N31" t="e">
        <f t="shared" si="8"/>
        <v>#DIV/0!</v>
      </c>
      <c r="O31" t="e">
        <f t="shared" si="9"/>
        <v>#DIV/0!</v>
      </c>
      <c r="P31" t="e">
        <f t="shared" si="10"/>
        <v>#DIV/0!</v>
      </c>
      <c r="Q31" t="e">
        <f t="shared" si="11"/>
        <v>#DIV/0!</v>
      </c>
    </row>
    <row r="32" spans="1:17">
      <c r="A32" t="s">
        <v>55</v>
      </c>
      <c r="C32">
        <f t="shared" si="0"/>
        <v>0</v>
      </c>
      <c r="D32">
        <f t="shared" si="1"/>
        <v>0</v>
      </c>
      <c r="E32">
        <f t="shared" si="2"/>
        <v>0</v>
      </c>
      <c r="F32">
        <f t="shared" ref="F32:H32" si="21">ROUND(F16*0.0098,3)</f>
        <v>0</v>
      </c>
      <c r="G32">
        <f t="shared" si="21"/>
        <v>0</v>
      </c>
      <c r="H32">
        <f t="shared" si="21"/>
        <v>0</v>
      </c>
      <c r="I32">
        <f t="shared" si="4"/>
        <v>0</v>
      </c>
      <c r="J32" s="6">
        <f t="shared" si="5"/>
        <v>0</v>
      </c>
      <c r="L32">
        <f t="shared" si="18"/>
        <v>0</v>
      </c>
      <c r="M32" t="e">
        <f t="shared" si="7"/>
        <v>#DIV/0!</v>
      </c>
      <c r="N32" t="e">
        <f t="shared" si="8"/>
        <v>#DIV/0!</v>
      </c>
      <c r="O32" t="e">
        <f t="shared" si="9"/>
        <v>#DIV/0!</v>
      </c>
      <c r="P32" t="e">
        <f t="shared" si="10"/>
        <v>#DIV/0!</v>
      </c>
      <c r="Q32" t="e">
        <f t="shared" si="11"/>
        <v>#DIV/0!</v>
      </c>
    </row>
    <row r="33" spans="1:17">
      <c r="A33" t="s">
        <v>56</v>
      </c>
      <c r="C33">
        <f t="shared" si="0"/>
        <v>0</v>
      </c>
      <c r="D33">
        <f t="shared" si="1"/>
        <v>0</v>
      </c>
      <c r="E33">
        <f t="shared" si="2"/>
        <v>0</v>
      </c>
      <c r="F33">
        <f t="shared" ref="F33:H33" si="22">ROUND(F17*0.0098,3)</f>
        <v>0</v>
      </c>
      <c r="G33">
        <f t="shared" si="22"/>
        <v>0</v>
      </c>
      <c r="H33">
        <f t="shared" si="22"/>
        <v>0</v>
      </c>
      <c r="I33">
        <f t="shared" si="4"/>
        <v>0</v>
      </c>
      <c r="J33" s="6">
        <f t="shared" si="5"/>
        <v>0</v>
      </c>
      <c r="L33">
        <f t="shared" si="18"/>
        <v>0</v>
      </c>
      <c r="M33" t="e">
        <f t="shared" si="7"/>
        <v>#DIV/0!</v>
      </c>
      <c r="N33" t="e">
        <f t="shared" si="8"/>
        <v>#DIV/0!</v>
      </c>
      <c r="O33" t="e">
        <f t="shared" si="9"/>
        <v>#DIV/0!</v>
      </c>
      <c r="P33" t="e">
        <f t="shared" si="10"/>
        <v>#DIV/0!</v>
      </c>
      <c r="Q33" t="e">
        <f t="shared" si="11"/>
        <v>#DIV/0!</v>
      </c>
    </row>
    <row r="34" spans="1:17">
      <c r="A34" t="s">
        <v>57</v>
      </c>
      <c r="C34">
        <f t="shared" si="0"/>
        <v>0</v>
      </c>
      <c r="D34">
        <f t="shared" si="1"/>
        <v>0</v>
      </c>
      <c r="E34">
        <f t="shared" si="2"/>
        <v>0</v>
      </c>
      <c r="F34">
        <f t="shared" ref="F34:H34" si="23">ROUND(F18*0.0098,3)</f>
        <v>0</v>
      </c>
      <c r="G34">
        <f t="shared" si="23"/>
        <v>0</v>
      </c>
      <c r="H34">
        <f t="shared" si="23"/>
        <v>0</v>
      </c>
      <c r="I34">
        <f t="shared" si="4"/>
        <v>0</v>
      </c>
      <c r="J34" s="6">
        <f t="shared" si="5"/>
        <v>0</v>
      </c>
      <c r="L34">
        <f t="shared" si="18"/>
        <v>0</v>
      </c>
      <c r="M34" t="e">
        <f t="shared" si="7"/>
        <v>#DIV/0!</v>
      </c>
      <c r="N34" t="e">
        <f t="shared" si="8"/>
        <v>#DIV/0!</v>
      </c>
      <c r="O34" t="e">
        <f t="shared" si="9"/>
        <v>#DIV/0!</v>
      </c>
      <c r="P34" t="e">
        <f t="shared" si="10"/>
        <v>#DIV/0!</v>
      </c>
      <c r="Q34" t="e">
        <f t="shared" si="11"/>
        <v>#DIV/0!</v>
      </c>
    </row>
    <row r="35" spans="1:17">
      <c r="A35" t="s">
        <v>58</v>
      </c>
      <c r="C35">
        <f t="shared" si="0"/>
        <v>0</v>
      </c>
      <c r="D35">
        <f t="shared" si="1"/>
        <v>0</v>
      </c>
      <c r="E35">
        <f t="shared" si="2"/>
        <v>0</v>
      </c>
      <c r="F35">
        <f t="shared" ref="F35:H35" si="24">ROUND(F19*0.0098,3)</f>
        <v>0</v>
      </c>
      <c r="G35">
        <f t="shared" si="24"/>
        <v>0</v>
      </c>
      <c r="H35">
        <f t="shared" si="24"/>
        <v>0</v>
      </c>
      <c r="I35">
        <f t="shared" si="4"/>
        <v>0</v>
      </c>
      <c r="J35" s="6">
        <f t="shared" si="5"/>
        <v>0</v>
      </c>
      <c r="L35">
        <f t="shared" si="18"/>
        <v>0</v>
      </c>
      <c r="M35" t="e">
        <f t="shared" si="7"/>
        <v>#DIV/0!</v>
      </c>
      <c r="N35" t="e">
        <f t="shared" si="8"/>
        <v>#DIV/0!</v>
      </c>
      <c r="O35" t="e">
        <f t="shared" si="9"/>
        <v>#DIV/0!</v>
      </c>
      <c r="P35" t="e">
        <f t="shared" si="10"/>
        <v>#DIV/0!</v>
      </c>
      <c r="Q35" t="e">
        <f t="shared" si="11"/>
        <v>#DIV/0!</v>
      </c>
    </row>
  </sheetData>
  <sheetProtection sheet="1" objects="1" scenarios="1"/>
  <protectedRanges>
    <protectedRange sqref="B5:Q19" name="输入数据"/>
  </protectedRanges>
  <phoneticPr fontId="2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DEMO</vt:lpstr>
      <vt:lpstr>数据</vt:lpstr>
      <vt:lpstr>输出结果</vt:lpstr>
      <vt:lpstr>合并结果</vt:lpstr>
      <vt:lpstr>显著性提取</vt:lpstr>
      <vt:lpstr>显著性格式整理</vt:lpstr>
      <vt:lpstr>微生物的计算</vt:lpstr>
      <vt:lpstr>质构名词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JiangZJ</dc:creator>
  <cp:lastModifiedBy>Jiang Zhaojing</cp:lastModifiedBy>
  <dcterms:created xsi:type="dcterms:W3CDTF">2020-02-22T07:29:27Z</dcterms:created>
  <dcterms:modified xsi:type="dcterms:W3CDTF">2023-06-28T02:47:10Z</dcterms:modified>
</cp:coreProperties>
</file>