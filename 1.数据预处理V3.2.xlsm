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VBA学习/Excel/"/>
    </mc:Choice>
  </mc:AlternateContent>
  <xr:revisionPtr revIDLastSave="5016" documentId="11_5AB85339F4AEAACD3509C5D464020D857F149633" xr6:coauthVersionLast="47" xr6:coauthVersionMax="47" xr10:uidLastSave="{6865AAC8-0C2B-42B5-8F79-189502F60278}"/>
  <bookViews>
    <workbookView xWindow="9084" yWindow="3672" windowWidth="14700" windowHeight="13788" firstSheet="1" activeTab="3" xr2:uid="{00000000-000D-0000-FFFF-FFFF00000000}"/>
  </bookViews>
  <sheets>
    <sheet name="DEMO" sheetId="17" r:id="rId1"/>
    <sheet name="数据" sheetId="1" r:id="rId2"/>
    <sheet name="合并结果" sheetId="51" r:id="rId3"/>
    <sheet name="分列结果" sheetId="50" r:id="rId4"/>
    <sheet name="显著性提取" sheetId="33" r:id="rId5"/>
    <sheet name="显著性格式整理" sheetId="34" r:id="rId6"/>
    <sheet name="微生物的计算" sheetId="30" r:id="rId7"/>
    <sheet name="质构转化" sheetId="39" r:id="rId8"/>
    <sheet name="色差计算" sheetId="52" r:id="rId9"/>
    <sheet name="低场核磁比例计算" sheetId="53" r:id="rId10"/>
  </sheets>
  <functionGroups builtInGroupCount="19"/>
  <definedNames>
    <definedName name="_xlnm._FilterDatabase" localSheetId="3" hidden="1">分列结果!$B$20:$K$32</definedName>
    <definedName name="_xlnm._FilterDatabase" localSheetId="5" hidden="1">显著性格式整理!$A$1:$CT$1</definedName>
    <definedName name="_xlnm._FilterDatabase" localSheetId="4" hidden="1">显著性提取!$D$5:$M$15</definedName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39" l="1"/>
  <c r="L26" i="39"/>
  <c r="L27" i="39"/>
  <c r="L28" i="39"/>
  <c r="L29" i="39"/>
  <c r="L30" i="39"/>
  <c r="L31" i="39"/>
  <c r="L32" i="39"/>
  <c r="L33" i="39"/>
  <c r="L34" i="39"/>
  <c r="L35" i="39"/>
  <c r="O6" i="33"/>
  <c r="O7" i="33"/>
  <c r="O8" i="33"/>
  <c r="O9" i="33"/>
  <c r="O10" i="33"/>
  <c r="O11" i="33"/>
  <c r="O12" i="33"/>
  <c r="O13" i="33"/>
  <c r="O14" i="33"/>
  <c r="O15" i="33"/>
  <c r="C10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Z10" i="53"/>
  <c r="AA10" i="53"/>
  <c r="AB10" i="53"/>
  <c r="AC10" i="53"/>
  <c r="AD10" i="53"/>
  <c r="AE10" i="53"/>
  <c r="AF10" i="53"/>
  <c r="AG10" i="53"/>
  <c r="AH10" i="53"/>
  <c r="AI10" i="53"/>
  <c r="AJ10" i="53"/>
  <c r="AK10" i="53"/>
  <c r="AL10" i="53"/>
  <c r="B10" i="53"/>
  <c r="AL13" i="53"/>
  <c r="AK13" i="53"/>
  <c r="AJ13" i="53"/>
  <c r="AI13" i="53"/>
  <c r="AH13" i="53"/>
  <c r="AG13" i="53"/>
  <c r="AF13" i="53"/>
  <c r="AE13" i="53"/>
  <c r="AD13" i="53"/>
  <c r="AC13" i="53"/>
  <c r="AB13" i="53"/>
  <c r="AA13" i="53"/>
  <c r="Z13" i="53"/>
  <c r="Y13" i="53"/>
  <c r="X13" i="53"/>
  <c r="W13" i="53"/>
  <c r="V13" i="53"/>
  <c r="U13" i="53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C13" i="53"/>
  <c r="B13" i="53"/>
  <c r="AL12" i="53"/>
  <c r="AK12" i="53"/>
  <c r="AJ12" i="53"/>
  <c r="AI12" i="53"/>
  <c r="AH12" i="53"/>
  <c r="AG12" i="53"/>
  <c r="AF12" i="53"/>
  <c r="AE12" i="53"/>
  <c r="AD12" i="53"/>
  <c r="AC12" i="53"/>
  <c r="AB12" i="53"/>
  <c r="AA12" i="53"/>
  <c r="Z12" i="53"/>
  <c r="Y12" i="53"/>
  <c r="X12" i="53"/>
  <c r="W12" i="53"/>
  <c r="V12" i="53"/>
  <c r="U12" i="53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C12" i="53"/>
  <c r="B12" i="53"/>
  <c r="AL11" i="53"/>
  <c r="AK11" i="53"/>
  <c r="AJ11" i="53"/>
  <c r="AI11" i="53"/>
  <c r="AH11" i="53"/>
  <c r="AG11" i="53"/>
  <c r="AF11" i="53"/>
  <c r="AE11" i="53"/>
  <c r="AD11" i="53"/>
  <c r="AC11" i="53"/>
  <c r="AB11" i="53"/>
  <c r="AA11" i="53"/>
  <c r="Z11" i="53"/>
  <c r="Y11" i="53"/>
  <c r="X11" i="53"/>
  <c r="W11" i="53"/>
  <c r="V11" i="53"/>
  <c r="U11" i="53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C11" i="53"/>
  <c r="B11" i="53"/>
  <c r="L22" i="39" l="1"/>
  <c r="L23" i="39"/>
  <c r="L24" i="39"/>
  <c r="L21" i="39"/>
  <c r="J22" i="39"/>
  <c r="J23" i="39"/>
  <c r="J24" i="39"/>
  <c r="J25" i="39"/>
  <c r="J26" i="39"/>
  <c r="J27" i="39"/>
  <c r="J28" i="39"/>
  <c r="J29" i="39"/>
  <c r="J30" i="39"/>
  <c r="J31" i="39"/>
  <c r="J32" i="39"/>
  <c r="J33" i="39"/>
  <c r="J34" i="39"/>
  <c r="J35" i="39"/>
  <c r="C29" i="39"/>
  <c r="D29" i="39"/>
  <c r="E29" i="39"/>
  <c r="F29" i="39"/>
  <c r="G29" i="39"/>
  <c r="H29" i="39"/>
  <c r="I29" i="39"/>
  <c r="C30" i="39"/>
  <c r="D30" i="39"/>
  <c r="E30" i="39"/>
  <c r="F30" i="39"/>
  <c r="G30" i="39"/>
  <c r="H30" i="39"/>
  <c r="I30" i="39"/>
  <c r="C31" i="39"/>
  <c r="D31" i="39"/>
  <c r="E31" i="39"/>
  <c r="F31" i="39"/>
  <c r="G31" i="39"/>
  <c r="H31" i="39"/>
  <c r="I31" i="39"/>
  <c r="C32" i="39"/>
  <c r="D32" i="39"/>
  <c r="E32" i="39"/>
  <c r="F32" i="39"/>
  <c r="G32" i="39"/>
  <c r="H32" i="39"/>
  <c r="I32" i="39"/>
  <c r="M32" i="39" s="1"/>
  <c r="C33" i="39"/>
  <c r="D33" i="39"/>
  <c r="E33" i="39"/>
  <c r="F33" i="39"/>
  <c r="G33" i="39"/>
  <c r="H33" i="39"/>
  <c r="I33" i="39"/>
  <c r="C34" i="39"/>
  <c r="D34" i="39"/>
  <c r="E34" i="39"/>
  <c r="F34" i="39"/>
  <c r="G34" i="39"/>
  <c r="H34" i="39"/>
  <c r="I34" i="39"/>
  <c r="M34" i="39" s="1"/>
  <c r="C35" i="39"/>
  <c r="D35" i="39"/>
  <c r="E35" i="39"/>
  <c r="F35" i="39"/>
  <c r="G35" i="39"/>
  <c r="Q35" i="39" s="1"/>
  <c r="H35" i="39"/>
  <c r="I35" i="39"/>
  <c r="M35" i="39" s="1"/>
  <c r="C22" i="39"/>
  <c r="D22" i="39"/>
  <c r="E22" i="39"/>
  <c r="F22" i="39"/>
  <c r="G22" i="39"/>
  <c r="H22" i="39"/>
  <c r="I22" i="39"/>
  <c r="C23" i="39"/>
  <c r="D23" i="39"/>
  <c r="E23" i="39"/>
  <c r="F23" i="39"/>
  <c r="G23" i="39"/>
  <c r="H23" i="39"/>
  <c r="I23" i="39"/>
  <c r="C24" i="39"/>
  <c r="D24" i="39"/>
  <c r="E24" i="39"/>
  <c r="F24" i="39"/>
  <c r="G24" i="39"/>
  <c r="H24" i="39"/>
  <c r="I24" i="39"/>
  <c r="C25" i="39"/>
  <c r="D25" i="39"/>
  <c r="E25" i="39"/>
  <c r="F25" i="39"/>
  <c r="G25" i="39"/>
  <c r="H25" i="39"/>
  <c r="I25" i="39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H28" i="39"/>
  <c r="I28" i="39"/>
  <c r="H21" i="39"/>
  <c r="G21" i="39"/>
  <c r="F21" i="39"/>
  <c r="D21" i="39"/>
  <c r="C21" i="39"/>
  <c r="I21" i="39"/>
  <c r="E21" i="39"/>
  <c r="J21" i="39"/>
  <c r="A4" i="33"/>
  <c r="A3" i="33"/>
  <c r="A5" i="33"/>
  <c r="A10" i="33"/>
  <c r="A12" i="33"/>
  <c r="A6" i="33"/>
  <c r="A7" i="33"/>
  <c r="A8" i="33"/>
  <c r="A11" i="33"/>
  <c r="A9" i="33"/>
  <c r="M22" i="39" l="1"/>
  <c r="M29" i="39"/>
  <c r="N33" i="39"/>
  <c r="N29" i="39"/>
  <c r="O33" i="39"/>
  <c r="Q34" i="39"/>
  <c r="Q28" i="39"/>
  <c r="N34" i="39"/>
  <c r="O34" i="39" s="1"/>
  <c r="P34" i="39" s="1"/>
  <c r="Q33" i="39"/>
  <c r="N35" i="39"/>
  <c r="O35" i="39" s="1"/>
  <c r="P35" i="39" s="1"/>
  <c r="M25" i="39"/>
  <c r="M31" i="39"/>
  <c r="Q30" i="39"/>
  <c r="M24" i="39"/>
  <c r="M30" i="39"/>
  <c r="M33" i="39"/>
  <c r="P33" i="39" s="1"/>
  <c r="N32" i="39"/>
  <c r="Q31" i="39"/>
  <c r="Q32" i="39"/>
  <c r="O29" i="39"/>
  <c r="P29" i="39" s="1"/>
  <c r="M23" i="39"/>
  <c r="N24" i="39"/>
  <c r="O24" i="39" s="1"/>
  <c r="Q23" i="39"/>
  <c r="N30" i="39"/>
  <c r="O30" i="39" s="1"/>
  <c r="Q29" i="39"/>
  <c r="N25" i="39"/>
  <c r="O25" i="39" s="1"/>
  <c r="N31" i="39"/>
  <c r="Q21" i="39"/>
  <c r="M26" i="39"/>
  <c r="M28" i="39"/>
  <c r="N28" i="39"/>
  <c r="O28" i="39" s="1"/>
  <c r="Q27" i="39"/>
  <c r="M21" i="39"/>
  <c r="M27" i="39"/>
  <c r="Q25" i="39"/>
  <c r="N27" i="39"/>
  <c r="O27" i="39" s="1"/>
  <c r="Q24" i="39"/>
  <c r="N26" i="39"/>
  <c r="O26" i="39" s="1"/>
  <c r="N22" i="39"/>
  <c r="O22" i="39" s="1"/>
  <c r="P22" i="39" s="1"/>
  <c r="Q22" i="39"/>
  <c r="Q26" i="39"/>
  <c r="N23" i="39"/>
  <c r="O23" i="39" s="1"/>
  <c r="O31" i="39"/>
  <c r="O32" i="39"/>
  <c r="P32" i="39" s="1"/>
  <c r="N21" i="39"/>
  <c r="O21" i="39" s="1"/>
  <c r="P21" i="39" s="1"/>
  <c r="P24" i="39" l="1"/>
  <c r="P31" i="39"/>
  <c r="P23" i="39"/>
  <c r="P25" i="39"/>
  <c r="P26" i="39"/>
  <c r="P28" i="39"/>
  <c r="P30" i="39"/>
  <c r="P27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Zhaojing Jiang</author>
  </authors>
  <commentList>
    <comment ref="A1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Zhaojing Jiang:</t>
        </r>
        <r>
          <rPr>
            <sz val="9"/>
            <color indexed="81"/>
            <rFont val="宋体"/>
            <family val="3"/>
            <charset val="134"/>
          </rPr>
          <t xml:space="preserve">
根据质构仪表格，将原始数据转变为N，然后重新计算转变后的数据。并在下列中输出。</t>
        </r>
      </text>
    </comment>
  </commentList>
</comments>
</file>

<file path=xl/sharedStrings.xml><?xml version="1.0" encoding="utf-8"?>
<sst xmlns="http://schemas.openxmlformats.org/spreadsheetml/2006/main" count="323" uniqueCount="181">
  <si>
    <t>g</t>
  </si>
  <si>
    <t>Hardness</t>
  </si>
  <si>
    <t>Fracturability</t>
  </si>
  <si>
    <t>Adhesiveness</t>
  </si>
  <si>
    <t>Cohesiveness</t>
  </si>
  <si>
    <t>Springiness</t>
  </si>
  <si>
    <t>Gumminess</t>
  </si>
  <si>
    <t>Chewiness</t>
  </si>
  <si>
    <t>Resilience</t>
  </si>
  <si>
    <t>粘附性</t>
  </si>
  <si>
    <t>内聚性</t>
  </si>
  <si>
    <t>弹性</t>
  </si>
  <si>
    <t>胶着性（半固体）</t>
  </si>
  <si>
    <t>咀嚼性（固体）</t>
  </si>
  <si>
    <t>回复性</t>
  </si>
  <si>
    <t>转化前1</t>
    <phoneticPr fontId="3" type="noConversion"/>
  </si>
  <si>
    <t>转化前2</t>
    <phoneticPr fontId="3" type="noConversion"/>
  </si>
  <si>
    <t>转化前3</t>
  </si>
  <si>
    <t>转化前4</t>
  </si>
  <si>
    <t>转化前5</t>
  </si>
  <si>
    <t>转化前6</t>
  </si>
  <si>
    <t>转化前7</t>
  </si>
  <si>
    <t>转化前8</t>
  </si>
  <si>
    <t>转化前9</t>
  </si>
  <si>
    <t>转化前10</t>
  </si>
  <si>
    <t>转化前11</t>
  </si>
  <si>
    <t>转化前12</t>
  </si>
  <si>
    <t>转化前13</t>
  </si>
  <si>
    <t>转化前14</t>
  </si>
  <si>
    <t>后1</t>
    <phoneticPr fontId="3" type="noConversion"/>
  </si>
  <si>
    <t>后2</t>
    <phoneticPr fontId="3" type="noConversion"/>
  </si>
  <si>
    <t>后3</t>
  </si>
  <si>
    <t>后4</t>
  </si>
  <si>
    <t>后5</t>
  </si>
  <si>
    <t>后6</t>
  </si>
  <si>
    <t>后7</t>
  </si>
  <si>
    <t>后8</t>
  </si>
  <si>
    <t>后9</t>
  </si>
  <si>
    <t>后10</t>
  </si>
  <si>
    <t>后11</t>
  </si>
  <si>
    <t>后12</t>
  </si>
  <si>
    <t>后13</t>
  </si>
  <si>
    <t>后14</t>
  </si>
  <si>
    <t>后15</t>
  </si>
  <si>
    <t>转化前15</t>
  </si>
  <si>
    <t>Force 1</t>
  </si>
  <si>
    <t>Area-FT 1:2</t>
  </si>
  <si>
    <t>Time-diff. 1:2</t>
  </si>
  <si>
    <t>Area-FT 1:3</t>
  </si>
  <si>
    <t>Area-FT 2:3</t>
  </si>
  <si>
    <t>Area-FT 4:6</t>
  </si>
  <si>
    <t>Time-diff. 4:5</t>
  </si>
  <si>
    <t>g.sec</t>
  </si>
  <si>
    <t>sec</t>
  </si>
  <si>
    <t>Area (Traditional) F-T 1:2</t>
  </si>
  <si>
    <t>Time Difference 1:2</t>
  </si>
  <si>
    <t>Area (Traditional) F-T 1:3</t>
  </si>
  <si>
    <t>Area (Traditional) F-T 2:3</t>
  </si>
  <si>
    <t>Area (Traditional) F-T 4:6</t>
  </si>
  <si>
    <t>Time Difference 4:5</t>
  </si>
  <si>
    <t>Force 2</t>
  </si>
  <si>
    <t>Force 3</t>
  </si>
  <si>
    <t>Variable</t>
  </si>
  <si>
    <t>J#/F#</t>
    <phoneticPr fontId="7" type="noConversion"/>
  </si>
  <si>
    <t>I#/G#</t>
  </si>
  <si>
    <t>K#*O#</t>
  </si>
  <si>
    <t>P#*N#</t>
  </si>
  <si>
    <t>H#/E#</t>
  </si>
  <si>
    <t>N</t>
    <phoneticPr fontId="3" type="noConversion"/>
  </si>
  <si>
    <t>N.sec</t>
    <phoneticPr fontId="3" type="noConversion"/>
  </si>
  <si>
    <t>硬度</t>
    <phoneticPr fontId="3" type="noConversion"/>
  </si>
  <si>
    <t>脆性</t>
    <phoneticPr fontId="3" type="noConversion"/>
  </si>
  <si>
    <t>说明</t>
    <phoneticPr fontId="3" type="noConversion"/>
  </si>
  <si>
    <t>a</t>
    <phoneticPr fontId="3" type="noConversion"/>
  </si>
  <si>
    <t>b</t>
    <phoneticPr fontId="3" type="noConversion"/>
  </si>
  <si>
    <t>ngf</t>
    <phoneticPr fontId="3" type="noConversion"/>
  </si>
  <si>
    <t>fdb</t>
    <phoneticPr fontId="3" type="noConversion"/>
  </si>
  <si>
    <t/>
  </si>
  <si>
    <t>分组</t>
  </si>
  <si>
    <t>A</t>
  </si>
  <si>
    <t>B</t>
  </si>
  <si>
    <t>C</t>
  </si>
  <si>
    <t>均值</t>
  </si>
  <si>
    <t>D</t>
  </si>
  <si>
    <t>E</t>
  </si>
  <si>
    <t>F</t>
  </si>
  <si>
    <t>如果第一列的数据小0.1，则A21的数据为前两行的和，如果大于则就是本身；如果第二列的数据小于0.5，是则S22的数据为第三行，否则为第二行数据；
如果第三个数据大于0.5，则S23为后面所有行相加，否则为4+5</t>
    <phoneticPr fontId="3" type="noConversion"/>
  </si>
  <si>
    <t>A21</t>
    <phoneticPr fontId="3" type="noConversion"/>
  </si>
  <si>
    <t>A22</t>
    <phoneticPr fontId="3" type="noConversion"/>
  </si>
  <si>
    <t>A23</t>
    <phoneticPr fontId="3" type="noConversion"/>
  </si>
  <si>
    <t>提取峰</t>
    <phoneticPr fontId="3" type="noConversion"/>
  </si>
  <si>
    <t>0_min</t>
  </si>
  <si>
    <t>15_min</t>
  </si>
  <si>
    <t>30_min</t>
  </si>
  <si>
    <t>45_min</t>
  </si>
  <si>
    <t>60_min</t>
  </si>
  <si>
    <t>con_0_min</t>
  </si>
  <si>
    <t>con_15_min</t>
  </si>
  <si>
    <t>con_30_min</t>
  </si>
  <si>
    <t>con_45_min</t>
  </si>
  <si>
    <t>con_60_min</t>
  </si>
  <si>
    <t>值</t>
  </si>
  <si>
    <t>BCD</t>
  </si>
  <si>
    <t>CD</t>
  </si>
  <si>
    <t>ABC</t>
  </si>
  <si>
    <t>AB</t>
  </si>
  <si>
    <t>ABCD</t>
  </si>
  <si>
    <t>DE</t>
  </si>
  <si>
    <t>EF</t>
  </si>
  <si>
    <t>CDE</t>
  </si>
  <si>
    <t>BC</t>
  </si>
  <si>
    <t>28.63787</t>
  </si>
  <si>
    <t>21.7751</t>
  </si>
  <si>
    <t>18.53769</t>
  </si>
  <si>
    <t>15.84815</t>
  </si>
  <si>
    <t>14.24226</t>
  </si>
  <si>
    <t>11.53252</t>
  </si>
  <si>
    <t>7.2557</t>
  </si>
  <si>
    <t>4.34555</t>
  </si>
  <si>
    <t>3.4358</t>
  </si>
  <si>
    <t>3.05966</t>
  </si>
  <si>
    <t>DEF</t>
  </si>
  <si>
    <t>FA-1.1</t>
  </si>
  <si>
    <t>FA-2.1</t>
  </si>
  <si>
    <t>FA-3.1</t>
  </si>
  <si>
    <t>FA-4.1</t>
  </si>
  <si>
    <t>FA-5.1</t>
  </si>
  <si>
    <t>FB-1.1</t>
  </si>
  <si>
    <t>FB-2.1</t>
  </si>
  <si>
    <t>FB-3.1</t>
  </si>
  <si>
    <t>FB-4.1</t>
  </si>
  <si>
    <t>FB-5.1</t>
  </si>
  <si>
    <t>FC-1.1</t>
  </si>
  <si>
    <t>FC-2.1</t>
  </si>
  <si>
    <t>FC-3.1</t>
  </si>
  <si>
    <t>FC-4.1</t>
  </si>
  <si>
    <t>FC-5.1</t>
  </si>
  <si>
    <t>FD-1.1</t>
  </si>
  <si>
    <t>FD-2.1</t>
  </si>
  <si>
    <t>FD-3.1</t>
  </si>
  <si>
    <t>FD-4.1</t>
  </si>
  <si>
    <t>FD-5.1</t>
  </si>
  <si>
    <t>FE-1.1</t>
  </si>
  <si>
    <t>FE-2.1</t>
  </si>
  <si>
    <t>FE-3.1</t>
  </si>
  <si>
    <t>FE-4.1</t>
  </si>
  <si>
    <t>FE-5.1</t>
  </si>
  <si>
    <t>1M</t>
  </si>
  <si>
    <t>1M2</t>
  </si>
  <si>
    <t>2M</t>
  </si>
  <si>
    <t>3M</t>
  </si>
  <si>
    <t>1S</t>
  </si>
  <si>
    <t>FT-0</t>
  </si>
  <si>
    <t>FT-2</t>
  </si>
  <si>
    <t>FT-4</t>
  </si>
  <si>
    <t>面粉</t>
  </si>
  <si>
    <t>2.01±0.03</t>
  </si>
  <si>
    <t>2.30±0.05</t>
  </si>
  <si>
    <t>2.46±0.07</t>
  </si>
  <si>
    <t>2.56±0.05</t>
  </si>
  <si>
    <t>2.13±0.04</t>
  </si>
  <si>
    <t>2.27±0.05</t>
  </si>
  <si>
    <t>2.60±0.04</t>
  </si>
  <si>
    <t>2.58±0.04</t>
  </si>
  <si>
    <t>2.33±0.01</t>
  </si>
  <si>
    <t>2.44±0.09</t>
  </si>
  <si>
    <t>2.50±0.02</t>
  </si>
  <si>
    <t>2.15±0.05</t>
  </si>
  <si>
    <t>2.45±0.04</t>
  </si>
  <si>
    <t>2.64±0.05</t>
  </si>
  <si>
    <t>2.58±0.05</t>
  </si>
  <si>
    <t>3.22±0.00</t>
  </si>
  <si>
    <t>3.37±0.04</t>
  </si>
  <si>
    <t>3.46±0.05</t>
  </si>
  <si>
    <t>2.23±0.04</t>
  </si>
  <si>
    <t>2.56±0.08</t>
  </si>
  <si>
    <t>A</t>
    <phoneticPr fontId="3" type="noConversion"/>
  </si>
  <si>
    <t>B</t>
    <phoneticPr fontId="3" type="noConversion"/>
  </si>
  <si>
    <t>C</t>
    <phoneticPr fontId="3" type="noConversion"/>
  </si>
  <si>
    <t>BC</t>
    <phoneticPr fontId="3" type="noConversion"/>
  </si>
  <si>
    <t>AB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</si>
</sst>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6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rgb="FFFF0000"/>
      <name val="等线"/>
      <family val="2"/>
      <charset val="134"/>
      <scheme val="minor"/>
    </font>
    <font>
      <b/>
      <sz val="11.25"/>
      <color rgb="FFFF0000"/>
      <name val="-apple-system"/>
      <family val="2"/>
    </font>
    <font>
      <b/>
      <sz val="11"/>
      <color rgb="FFFF0000"/>
      <name val="Microsoft YaHei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Times New Roma"/>
      <family val="1"/>
    </font>
    <font>
      <sz val="11"/>
      <color theme="1"/>
      <name val="Times New Roma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/>
    <xf numFmtId="0" fontId="5" fillId="0" borderId="0">
      <alignment vertical="center"/>
    </xf>
    <xf numFmtId="0" fontId="1" fillId="0" borderId="0"/>
  </cellStyleXfs>
  <cellXfs count="42">
    <xf numFmtId="0" fontId="0" fillId="0" borderId="0" xfId="0">
      <alignment vertical="center"/>
    </xf>
    <xf numFmtId="0" fontId="4" fillId="0" borderId="0" xfId="1"/>
    <xf numFmtId="49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8" fillId="4" borderId="0" xfId="0" applyFont="1" applyFill="1">
      <alignment vertical="center"/>
    </xf>
    <xf numFmtId="0" fontId="9" fillId="4" borderId="2" xfId="0" applyFont="1" applyFill="1" applyBorder="1" applyAlignment="1">
      <alignment vertical="center" wrapText="1"/>
    </xf>
    <xf numFmtId="0" fontId="10" fillId="4" borderId="0" xfId="0" applyFont="1" applyFill="1">
      <alignment vertical="center"/>
    </xf>
    <xf numFmtId="0" fontId="10" fillId="4" borderId="2" xfId="0" applyFont="1" applyFill="1" applyBorder="1" applyAlignment="1">
      <alignment vertical="center" wrapText="1"/>
    </xf>
    <xf numFmtId="0" fontId="2" fillId="0" borderId="0" xfId="1" applyFont="1"/>
    <xf numFmtId="49" fontId="15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49" fontId="13" fillId="0" borderId="0" xfId="0" applyNumberFormat="1" applyFont="1">
      <alignment vertical="center"/>
    </xf>
    <xf numFmtId="176" fontId="15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/>
    <xf numFmtId="0" fontId="15" fillId="0" borderId="0" xfId="0" applyFont="1">
      <alignment vertical="center"/>
    </xf>
    <xf numFmtId="0" fontId="14" fillId="0" borderId="0" xfId="0" applyFont="1">
      <alignment vertical="center"/>
    </xf>
    <xf numFmtId="49" fontId="0" fillId="0" borderId="9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13" fillId="0" borderId="0" xfId="0" applyFont="1">
      <alignment vertical="center"/>
    </xf>
    <xf numFmtId="49" fontId="0" fillId="0" borderId="0" xfId="0" applyNumberFormat="1" applyBorder="1">
      <alignment vertical="center"/>
    </xf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E1BEF033-4F0A-4403-9C8A-792AAF272AA6}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br>
            <a:rPr lang="en-US" altLang="zh-CN" sz="1200"/>
          </a:br>
          <a:br>
            <a:rPr lang="en-US" altLang="zh-CN" sz="1200"/>
          </a:br>
          <a:r>
            <a:rPr lang="zh-CN" altLang="en-US" sz="1200"/>
            <a:t>使用数据分析时：</a:t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>    3. </a:t>
          </a:r>
          <a:r>
            <a:rPr lang="zh-CN" altLang="en-US" sz="1200" baseline="0"/>
            <a:t>缺失值请保持空白，</a:t>
          </a:r>
          <a:r>
            <a:rPr lang="en-US" altLang="zh-CN" sz="1200" baseline="0"/>
            <a:t>0</a:t>
          </a:r>
          <a:r>
            <a:rPr lang="zh-CN" altLang="en-US" sz="1200" baseline="0"/>
            <a:t>不等于空白，</a:t>
          </a:r>
          <a:r>
            <a:rPr lang="en-US" altLang="zh-CN" sz="1200" baseline="0"/>
            <a:t>0</a:t>
          </a:r>
          <a:r>
            <a:rPr lang="zh-CN" altLang="en-US" sz="1200" baseline="0"/>
            <a:t>将参与正常计算，在复制过程中请注意。</a:t>
          </a:r>
          <a:endParaRPr lang="en-US" altLang="zh-CN" sz="1200" baseline="0"/>
        </a:p>
        <a:p>
          <a:pPr algn="l"/>
          <a:endParaRPr lang="en-US" altLang="zh-CN" sz="1200" baseline="0"/>
        </a:p>
        <a:p>
          <a:pPr algn="l"/>
          <a:r>
            <a:rPr lang="en-US" altLang="zh-CN" sz="1200" baseline="0"/>
            <a:t>V3.2 </a:t>
          </a:r>
        </a:p>
        <a:p>
          <a:pPr algn="l"/>
          <a:r>
            <a:rPr lang="en-US" altLang="zh-CN" sz="1200" baseline="0"/>
            <a:t>   1. </a:t>
          </a:r>
          <a:r>
            <a:rPr lang="zh-CN" altLang="en-US" sz="1200" baseline="0"/>
            <a:t>标准差使用</a:t>
          </a:r>
          <a:r>
            <a:rPr lang="en-US" altLang="zh-CN" sz="1200" baseline="0"/>
            <a:t>Stdev_S </a:t>
          </a:r>
          <a:r>
            <a:rPr lang="zh-CN" altLang="en-US" sz="1200" baseline="0"/>
            <a:t>来获取与</a:t>
          </a:r>
          <a:r>
            <a:rPr lang="en-US" altLang="zh-CN" sz="1200" baseline="0"/>
            <a:t>origin</a:t>
          </a:r>
          <a:r>
            <a:rPr lang="zh-CN" altLang="en-US" sz="1200" baseline="0"/>
            <a:t>一样的标准差。</a:t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160020</xdr:colOff>
          <xdr:row>4</xdr:row>
          <xdr:rowOff>53340</xdr:rowOff>
        </xdr:from>
        <xdr:to>
          <xdr:col>16</xdr:col>
          <xdr:colOff>251460</xdr:colOff>
          <xdr:row>8</xdr:row>
          <xdr:rowOff>53340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22860</xdr:rowOff>
        </xdr:from>
        <xdr:to>
          <xdr:col>1</xdr:col>
          <xdr:colOff>76200</xdr:colOff>
          <xdr:row>2</xdr:row>
          <xdr:rowOff>129540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53340</xdr:colOff>
          <xdr:row>3</xdr:row>
          <xdr:rowOff>152400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525780</xdr:colOff>
          <xdr:row>14</xdr:row>
          <xdr:rowOff>15240</xdr:rowOff>
        </xdr:from>
        <xdr:to>
          <xdr:col>11</xdr:col>
          <xdr:colOff>121920</xdr:colOff>
          <xdr:row>16</xdr:row>
          <xdr:rowOff>68580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76200</xdr:rowOff>
    </xdr:from>
    <xdr:to>
      <xdr:col>10</xdr:col>
      <xdr:colOff>215640</xdr:colOff>
      <xdr:row>28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60960</xdr:rowOff>
        </xdr:from>
        <xdr:to>
          <xdr:col>0</xdr:col>
          <xdr:colOff>579120</xdr:colOff>
          <xdr:row>2</xdr:row>
          <xdr:rowOff>129540</xdr:rowOff>
        </xdr:to>
        <xdr:sp macro="" textlink="">
          <xdr:nvSpPr>
            <xdr:cNvPr id="25604" name="删除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7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5:A40"/>
  <sheetViews>
    <sheetView topLeftCell="A21" workbookViewId="0">
      <selection activeCell="D47" sqref="D47"/>
    </sheetView>
  </sheetViews>
  <sheetFormatPr defaultRowHeight="13.8"/>
  <sheetData>
    <row r="15" ht="16.2" customHeight="1"/>
    <row r="18" ht="15.6" customHeight="1"/>
    <row r="19" ht="13.8" customHeight="1"/>
    <row r="20" ht="13.8" customHeight="1"/>
    <row r="21" ht="13.8" customHeight="1"/>
    <row r="22" ht="13.8" customHeight="1"/>
    <row r="23" ht="13.8" customHeight="1"/>
    <row r="24" ht="13.8" customHeight="1"/>
    <row r="25" ht="13.8" customHeight="1"/>
    <row r="26" ht="13.8" customHeight="1"/>
    <row r="27" ht="13.8" customHeight="1"/>
    <row r="28" ht="13.8" customHeight="1"/>
    <row r="29" ht="13.8" customHeight="1"/>
    <row r="30" ht="13.8" customHeight="1"/>
    <row r="31" ht="13.8" customHeight="1"/>
    <row r="32" ht="13.8" customHeight="1"/>
    <row r="33" ht="13.8" customHeight="1"/>
    <row r="34" ht="13.8" customHeight="1"/>
    <row r="35" ht="13.8" customHeight="1"/>
    <row r="36" ht="13.8" customHeight="1"/>
    <row r="37" ht="13.8" customHeight="1"/>
    <row r="38" ht="13.8" customHeight="1"/>
    <row r="39" ht="13.8" customHeight="1"/>
    <row r="40" ht="13.8" customHeight="1"/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82"/>
  <sheetViews>
    <sheetView zoomScale="85" zoomScaleNormal="85" workbookViewId="0">
      <selection activeCell="C53" sqref="C53"/>
    </sheetView>
  </sheetViews>
  <sheetFormatPr defaultRowHeight="13.8"/>
  <cols>
    <col min="2" max="13" width="11" customWidth="1"/>
  </cols>
  <sheetData>
    <row r="1" spans="1:6" s="2" customFormat="1" ht="14.4" thickBot="1">
      <c r="A1" s="40"/>
      <c r="B1" s="34" t="s">
        <v>147</v>
      </c>
      <c r="C1" s="35" t="s">
        <v>148</v>
      </c>
      <c r="D1" s="35" t="s">
        <v>149</v>
      </c>
      <c r="E1" s="35" t="s">
        <v>150</v>
      </c>
      <c r="F1" s="36" t="s">
        <v>151</v>
      </c>
    </row>
    <row r="2" spans="1:6" s="2" customFormat="1">
      <c r="A2" s="38" t="s">
        <v>155</v>
      </c>
      <c r="B2" s="30">
        <v>1.9930000000000001</v>
      </c>
      <c r="C2" s="30">
        <v>2.1349999999999998</v>
      </c>
      <c r="D2" s="30">
        <v>2.226</v>
      </c>
      <c r="E2" s="30">
        <v>2.1659999999999999</v>
      </c>
      <c r="F2" s="32">
        <v>2.6219999999999999</v>
      </c>
    </row>
    <row r="3" spans="1:6" s="2" customFormat="1">
      <c r="A3" s="37" t="s">
        <v>155</v>
      </c>
      <c r="B3" s="30">
        <v>2.0489999999999999</v>
      </c>
      <c r="C3" s="30">
        <v>2.09</v>
      </c>
      <c r="D3" s="30">
        <v>2.2719999999999998</v>
      </c>
      <c r="E3" s="30">
        <v>2.181</v>
      </c>
      <c r="F3" s="32">
        <v>2.6019999999999999</v>
      </c>
    </row>
    <row r="4" spans="1:6" s="2" customFormat="1">
      <c r="A4" s="37" t="s">
        <v>155</v>
      </c>
      <c r="B4" s="30">
        <v>1.998</v>
      </c>
      <c r="C4" s="30">
        <v>2.161</v>
      </c>
      <c r="D4" s="30">
        <v>2.2010000000000001</v>
      </c>
      <c r="E4" s="30">
        <v>2.0950000000000002</v>
      </c>
      <c r="F4" s="32">
        <v>2.52</v>
      </c>
    </row>
    <row r="5" spans="1:6" s="2" customFormat="1">
      <c r="A5" s="37" t="s">
        <v>152</v>
      </c>
      <c r="B5" s="30">
        <v>2.3479999999999999</v>
      </c>
      <c r="C5" s="30">
        <v>2.3180000000000001</v>
      </c>
      <c r="D5" s="30">
        <v>2.3380000000000001</v>
      </c>
      <c r="E5" s="30">
        <v>2.4900000000000002</v>
      </c>
      <c r="F5" s="32">
        <v>3.2250000000000001</v>
      </c>
    </row>
    <row r="6" spans="1:6" s="2" customFormat="1">
      <c r="A6" s="37" t="s">
        <v>152</v>
      </c>
      <c r="B6" s="30">
        <v>2.3180000000000001</v>
      </c>
      <c r="C6" s="30">
        <v>2.226</v>
      </c>
      <c r="D6" s="30">
        <v>2.3330000000000002</v>
      </c>
      <c r="E6" s="30">
        <v>2.4390000000000001</v>
      </c>
      <c r="F6" s="32">
        <v>3.2250000000000001</v>
      </c>
    </row>
    <row r="7" spans="1:6" s="2" customFormat="1">
      <c r="A7" s="37" t="s">
        <v>152</v>
      </c>
      <c r="B7" s="30">
        <v>2.242</v>
      </c>
      <c r="C7" s="30">
        <v>2.2519999999999998</v>
      </c>
      <c r="D7" s="30">
        <v>2.3130000000000002</v>
      </c>
      <c r="E7" s="30">
        <v>2.419</v>
      </c>
      <c r="F7" s="32">
        <v>3.22</v>
      </c>
    </row>
    <row r="8" spans="1:6" s="2" customFormat="1">
      <c r="A8" s="37" t="s">
        <v>153</v>
      </c>
      <c r="B8" s="30">
        <v>2.5099999999999998</v>
      </c>
      <c r="C8" s="30">
        <v>2.6219999999999999</v>
      </c>
      <c r="D8" s="30">
        <v>2.5150000000000001</v>
      </c>
      <c r="E8" s="30">
        <v>2.4750000000000001</v>
      </c>
      <c r="F8" s="32">
        <v>3.3570000000000002</v>
      </c>
    </row>
    <row r="9" spans="1:6" s="2" customFormat="1">
      <c r="A9" s="37" t="s">
        <v>153</v>
      </c>
      <c r="B9" s="30">
        <v>2.48</v>
      </c>
      <c r="C9" s="30">
        <v>2.556</v>
      </c>
      <c r="D9" s="30">
        <v>2.48</v>
      </c>
      <c r="E9" s="30">
        <v>2.5760000000000001</v>
      </c>
      <c r="F9" s="32">
        <v>3.3410000000000002</v>
      </c>
    </row>
    <row r="10" spans="1:6" s="2" customFormat="1">
      <c r="A10" s="37" t="s">
        <v>153</v>
      </c>
      <c r="B10" s="30">
        <v>2.3839999999999999</v>
      </c>
      <c r="C10" s="30">
        <v>2.6269999999999998</v>
      </c>
      <c r="D10" s="30">
        <v>2.3380000000000001</v>
      </c>
      <c r="E10" s="30">
        <v>2.6219999999999999</v>
      </c>
      <c r="F10" s="32">
        <v>3.423</v>
      </c>
    </row>
    <row r="11" spans="1:6" s="2" customFormat="1">
      <c r="A11" s="37" t="s">
        <v>154</v>
      </c>
      <c r="B11" s="30">
        <v>2.6070000000000002</v>
      </c>
      <c r="C11" s="30">
        <v>2.581</v>
      </c>
      <c r="D11" s="30">
        <v>2.4849999999999999</v>
      </c>
      <c r="E11" s="30">
        <v>2.698</v>
      </c>
      <c r="F11" s="32">
        <v>3.4529999999999998</v>
      </c>
    </row>
    <row r="12" spans="1:6" s="2" customFormat="1">
      <c r="A12" s="37" t="s">
        <v>154</v>
      </c>
      <c r="B12" s="30">
        <v>2.5459999999999998</v>
      </c>
      <c r="C12" s="30">
        <v>2.536</v>
      </c>
      <c r="D12" s="30">
        <v>2.5150000000000001</v>
      </c>
      <c r="E12" s="30">
        <v>2.6419999999999999</v>
      </c>
      <c r="F12" s="32">
        <v>3.4119999999999999</v>
      </c>
    </row>
    <row r="13" spans="1:6" s="2" customFormat="1" ht="14.4" thickBot="1">
      <c r="A13" s="39" t="s">
        <v>154</v>
      </c>
      <c r="B13" s="31">
        <v>2.5150000000000001</v>
      </c>
      <c r="C13" s="31">
        <v>2.6120000000000001</v>
      </c>
      <c r="D13" s="31">
        <v>2.4950000000000001</v>
      </c>
      <c r="E13" s="31">
        <v>2.5910000000000002</v>
      </c>
      <c r="F13" s="33">
        <v>3.5089999999999999</v>
      </c>
    </row>
    <row r="14" spans="1:6" s="2" customFormat="1">
      <c r="A14" s="23"/>
      <c r="B14" s="41"/>
      <c r="C14" s="41"/>
      <c r="D14" s="41"/>
      <c r="E14" s="26"/>
    </row>
    <row r="15" spans="1:6" s="2" customFormat="1">
      <c r="A15" s="23"/>
      <c r="B15" s="41"/>
      <c r="C15" s="41"/>
      <c r="D15" s="41"/>
      <c r="E15" s="26"/>
    </row>
    <row r="16" spans="1:6" s="2" customFormat="1" ht="14.4" thickBot="1">
      <c r="A16" s="24"/>
      <c r="B16" s="25"/>
      <c r="C16" s="25"/>
      <c r="D16" s="25"/>
      <c r="E16" s="27"/>
    </row>
    <row r="17" spans="2:27" s="2" customFormat="1" ht="14.4" thickBot="1"/>
    <row r="18" spans="2:27" s="2" customFormat="1" ht="14.4" thickBot="1">
      <c r="S18" s="40"/>
      <c r="T18" s="38"/>
      <c r="U18" s="37"/>
      <c r="V18" s="37"/>
      <c r="W18" s="37"/>
      <c r="X18" s="39"/>
    </row>
    <row r="19" spans="2:27" s="2" customFormat="1" ht="14.4" thickBot="1">
      <c r="S19" s="34"/>
      <c r="T19" s="30"/>
      <c r="U19" s="30"/>
      <c r="V19" s="30"/>
      <c r="W19" s="30"/>
      <c r="X19" s="31"/>
    </row>
    <row r="20" spans="2:27" s="2" customFormat="1" ht="14.4" thickBot="1">
      <c r="S20" s="35"/>
      <c r="T20" s="30"/>
      <c r="U20" s="30"/>
      <c r="V20" s="30"/>
      <c r="W20" s="30"/>
      <c r="X20" s="31"/>
    </row>
    <row r="21" spans="2:27" s="2" customFormat="1" ht="14.4" thickBot="1">
      <c r="S21" s="36"/>
      <c r="T21" s="32"/>
      <c r="U21" s="32"/>
      <c r="V21" s="32"/>
      <c r="W21" s="32"/>
      <c r="X21" s="33"/>
    </row>
    <row r="22" spans="2:27" s="2" customFormat="1"/>
    <row r="23" spans="2:27" s="2" customFormat="1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2:27" s="2" customFormat="1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2:27" s="2" customFormat="1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2:27" s="2" customFormat="1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2:27" s="2" customFormat="1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2:27" s="2" customFormat="1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2:27" s="2" customFormat="1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2:27" s="2" customFormat="1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3" spans="5:17">
      <c r="F33" t="s">
        <v>155</v>
      </c>
      <c r="G33" t="s">
        <v>155</v>
      </c>
      <c r="H33" t="s">
        <v>155</v>
      </c>
      <c r="I33" t="s">
        <v>152</v>
      </c>
      <c r="J33" t="s">
        <v>152</v>
      </c>
      <c r="K33" t="s">
        <v>152</v>
      </c>
      <c r="L33" t="s">
        <v>153</v>
      </c>
      <c r="M33" t="s">
        <v>153</v>
      </c>
      <c r="N33" t="s">
        <v>153</v>
      </c>
      <c r="O33" t="s">
        <v>154</v>
      </c>
      <c r="P33" t="s">
        <v>154</v>
      </c>
      <c r="Q33" t="s">
        <v>154</v>
      </c>
    </row>
    <row r="34" spans="5:17">
      <c r="E34" t="s">
        <v>147</v>
      </c>
      <c r="F34">
        <v>1.9930000000000001</v>
      </c>
      <c r="G34">
        <v>2.0489999999999999</v>
      </c>
      <c r="H34">
        <v>1.998</v>
      </c>
      <c r="I34">
        <v>2.3479999999999999</v>
      </c>
      <c r="J34">
        <v>2.3180000000000001</v>
      </c>
      <c r="K34">
        <v>2.242</v>
      </c>
      <c r="L34">
        <v>2.5099999999999998</v>
      </c>
      <c r="M34">
        <v>2.48</v>
      </c>
      <c r="N34">
        <v>2.3839999999999999</v>
      </c>
      <c r="O34">
        <v>2.6070000000000002</v>
      </c>
      <c r="P34">
        <v>2.5459999999999998</v>
      </c>
      <c r="Q34">
        <v>2.5150000000000001</v>
      </c>
    </row>
    <row r="35" spans="5:17">
      <c r="E35" t="s">
        <v>148</v>
      </c>
      <c r="F35">
        <v>2.1349999999999998</v>
      </c>
      <c r="G35">
        <v>2.09</v>
      </c>
      <c r="H35">
        <v>2.161</v>
      </c>
      <c r="I35">
        <v>2.3180000000000001</v>
      </c>
      <c r="J35">
        <v>2.226</v>
      </c>
      <c r="K35">
        <v>2.2519999999999998</v>
      </c>
      <c r="L35">
        <v>2.6219999999999999</v>
      </c>
      <c r="M35">
        <v>2.556</v>
      </c>
      <c r="N35">
        <v>2.6269999999999998</v>
      </c>
      <c r="O35">
        <v>2.581</v>
      </c>
      <c r="P35">
        <v>2.536</v>
      </c>
      <c r="Q35">
        <v>2.6120000000000001</v>
      </c>
    </row>
    <row r="36" spans="5:17">
      <c r="E36" t="s">
        <v>149</v>
      </c>
      <c r="F36">
        <v>2.226</v>
      </c>
      <c r="G36">
        <v>2.2719999999999998</v>
      </c>
      <c r="H36">
        <v>2.2010000000000001</v>
      </c>
      <c r="I36">
        <v>2.3380000000000001</v>
      </c>
      <c r="J36">
        <v>2.3330000000000002</v>
      </c>
      <c r="K36">
        <v>2.3130000000000002</v>
      </c>
      <c r="L36">
        <v>2.5150000000000001</v>
      </c>
      <c r="M36">
        <v>2.48</v>
      </c>
      <c r="N36">
        <v>2.3380000000000001</v>
      </c>
      <c r="O36">
        <v>2.4849999999999999</v>
      </c>
      <c r="P36">
        <v>2.5150000000000001</v>
      </c>
      <c r="Q36">
        <v>2.4950000000000001</v>
      </c>
    </row>
    <row r="37" spans="5:17">
      <c r="E37" t="s">
        <v>150</v>
      </c>
      <c r="F37">
        <v>2.1659999999999999</v>
      </c>
      <c r="G37">
        <v>2.181</v>
      </c>
      <c r="H37">
        <v>2.0950000000000002</v>
      </c>
      <c r="I37">
        <v>2.4900000000000002</v>
      </c>
      <c r="J37">
        <v>2.4390000000000001</v>
      </c>
      <c r="K37">
        <v>2.419</v>
      </c>
      <c r="L37">
        <v>2.4750000000000001</v>
      </c>
      <c r="M37">
        <v>2.5760000000000001</v>
      </c>
      <c r="N37">
        <v>2.6219999999999999</v>
      </c>
      <c r="O37">
        <v>2.698</v>
      </c>
      <c r="P37">
        <v>2.6419999999999999</v>
      </c>
      <c r="Q37">
        <v>2.5910000000000002</v>
      </c>
    </row>
    <row r="38" spans="5:17">
      <c r="E38" t="s">
        <v>151</v>
      </c>
      <c r="F38">
        <v>2.6219999999999999</v>
      </c>
      <c r="G38">
        <v>2.6019999999999999</v>
      </c>
      <c r="H38">
        <v>2.52</v>
      </c>
      <c r="I38">
        <v>3.2250000000000001</v>
      </c>
      <c r="J38">
        <v>3.2250000000000001</v>
      </c>
      <c r="K38">
        <v>3.22</v>
      </c>
      <c r="L38">
        <v>3.3570000000000002</v>
      </c>
      <c r="M38">
        <v>3.3410000000000002</v>
      </c>
      <c r="N38">
        <v>3.423</v>
      </c>
      <c r="O38">
        <v>3.4529999999999998</v>
      </c>
      <c r="P38">
        <v>3.4119999999999999</v>
      </c>
      <c r="Q38">
        <v>3.5089999999999999</v>
      </c>
    </row>
    <row r="77" ht="16.2" customHeight="1"/>
    <row r="78" ht="16.2" customHeight="1"/>
    <row r="79" ht="16.2" customHeight="1"/>
    <row r="80" ht="16.2" customHeight="1"/>
    <row r="81" ht="16.2" customHeight="1"/>
    <row r="82" ht="16.2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14</xdr:col>
                <xdr:colOff>160020</xdr:colOff>
                <xdr:row>4</xdr:row>
                <xdr:rowOff>60960</xdr:rowOff>
              </from>
              <to>
                <xdr:col>16</xdr:col>
                <xdr:colOff>251460</xdr:colOff>
                <xdr:row>8</xdr:row>
                <xdr:rowOff>60960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2:F7"/>
  <sheetViews>
    <sheetView workbookViewId="0">
      <selection activeCell="N1" activeCellId="3" sqref="F1 J1 M1 N1"/>
    </sheetView>
  </sheetViews>
  <sheetFormatPr defaultRowHeight="13.8"/>
  <cols>
    <col min="1" max="1" width="8.88671875" style="2"/>
    <col min="2" max="6" width="9.77734375" bestFit="1" customWidth="1"/>
    <col min="7" max="17" width="11.88671875" bestFit="1" customWidth="1"/>
  </cols>
  <sheetData>
    <row r="2" spans="1:6" s="2" customFormat="1">
      <c r="A2" s="16"/>
      <c r="B2" s="14" t="s">
        <v>147</v>
      </c>
      <c r="C2" s="15" t="s">
        <v>148</v>
      </c>
      <c r="D2" s="15" t="s">
        <v>149</v>
      </c>
      <c r="E2" s="15" t="s">
        <v>150</v>
      </c>
      <c r="F2" s="15" t="s">
        <v>151</v>
      </c>
    </row>
    <row r="3" spans="1:6">
      <c r="A3" s="14" t="s">
        <v>155</v>
      </c>
      <c r="B3" s="21" t="s">
        <v>156</v>
      </c>
      <c r="C3" s="21" t="s">
        <v>160</v>
      </c>
      <c r="D3" s="21" t="s">
        <v>174</v>
      </c>
      <c r="E3" s="21" t="s">
        <v>167</v>
      </c>
      <c r="F3" s="22" t="s">
        <v>170</v>
      </c>
    </row>
    <row r="4" spans="1:6">
      <c r="A4" s="15" t="s">
        <v>152</v>
      </c>
      <c r="B4" s="21" t="s">
        <v>157</v>
      </c>
      <c r="C4" s="21" t="s">
        <v>161</v>
      </c>
      <c r="D4" s="21" t="s">
        <v>164</v>
      </c>
      <c r="E4" s="21" t="s">
        <v>168</v>
      </c>
      <c r="F4" s="22" t="s">
        <v>171</v>
      </c>
    </row>
    <row r="5" spans="1:6">
      <c r="A5" s="15" t="s">
        <v>153</v>
      </c>
      <c r="B5" s="21" t="s">
        <v>158</v>
      </c>
      <c r="C5" s="21" t="s">
        <v>162</v>
      </c>
      <c r="D5" s="21" t="s">
        <v>165</v>
      </c>
      <c r="E5" s="21" t="s">
        <v>175</v>
      </c>
      <c r="F5" s="22" t="s">
        <v>172</v>
      </c>
    </row>
    <row r="6" spans="1:6">
      <c r="A6" s="15" t="s">
        <v>154</v>
      </c>
      <c r="B6" s="21" t="s">
        <v>159</v>
      </c>
      <c r="C6" s="21" t="s">
        <v>163</v>
      </c>
      <c r="D6" s="21" t="s">
        <v>166</v>
      </c>
      <c r="E6" s="21" t="s">
        <v>169</v>
      </c>
      <c r="F6" s="22" t="s">
        <v>173</v>
      </c>
    </row>
    <row r="7" spans="1:6">
      <c r="A7" s="15"/>
      <c r="B7" s="21"/>
      <c r="C7" s="21"/>
      <c r="D7" s="21"/>
      <c r="E7" s="2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2:O14"/>
  <sheetViews>
    <sheetView tabSelected="1" workbookViewId="0">
      <selection activeCell="O7" sqref="O7"/>
    </sheetView>
  </sheetViews>
  <sheetFormatPr defaultRowHeight="13.8"/>
  <cols>
    <col min="1" max="1" width="8.6640625" style="2" customWidth="1"/>
    <col min="2" max="11" width="5.6640625" bestFit="1" customWidth="1"/>
    <col min="12" max="33" width="6.6640625" bestFit="1" customWidth="1"/>
  </cols>
  <sheetData>
    <row r="2" spans="1:15" s="2" customFormat="1">
      <c r="A2" s="16"/>
      <c r="B2" s="14" t="s">
        <v>147</v>
      </c>
      <c r="C2" s="15" t="s">
        <v>77</v>
      </c>
      <c r="D2" s="15" t="s">
        <v>148</v>
      </c>
      <c r="E2" s="15" t="s">
        <v>77</v>
      </c>
      <c r="F2" s="15" t="s">
        <v>149</v>
      </c>
      <c r="G2" s="15" t="s">
        <v>77</v>
      </c>
      <c r="H2" s="15" t="s">
        <v>150</v>
      </c>
      <c r="I2" s="15" t="s">
        <v>77</v>
      </c>
      <c r="J2" s="15" t="s">
        <v>151</v>
      </c>
      <c r="K2" s="15" t="s">
        <v>77</v>
      </c>
    </row>
    <row r="3" spans="1:15">
      <c r="A3" s="14" t="s">
        <v>155</v>
      </c>
      <c r="B3" s="17">
        <v>2.0099999999999998</v>
      </c>
      <c r="C3" s="17">
        <v>0.03</v>
      </c>
      <c r="D3" s="17">
        <v>2.13</v>
      </c>
      <c r="E3" s="17">
        <v>0.04</v>
      </c>
      <c r="F3" s="17">
        <v>2.23</v>
      </c>
      <c r="G3" s="17">
        <v>0.04</v>
      </c>
      <c r="H3" s="17">
        <v>2.15</v>
      </c>
      <c r="I3" s="17">
        <v>0.05</v>
      </c>
      <c r="J3" s="17">
        <v>2.58</v>
      </c>
      <c r="K3" s="17">
        <v>0.05</v>
      </c>
      <c r="L3" t="s">
        <v>178</v>
      </c>
      <c r="M3" t="s">
        <v>178</v>
      </c>
      <c r="N3" t="s">
        <v>178</v>
      </c>
      <c r="O3" t="s">
        <v>178</v>
      </c>
    </row>
    <row r="4" spans="1:15">
      <c r="A4" s="15" t="s">
        <v>152</v>
      </c>
      <c r="B4" s="17">
        <v>2.2999999999999998</v>
      </c>
      <c r="C4" s="17">
        <v>0.05</v>
      </c>
      <c r="D4" s="17">
        <v>2.27</v>
      </c>
      <c r="E4" s="17">
        <v>0.05</v>
      </c>
      <c r="F4" s="17">
        <v>2.33</v>
      </c>
      <c r="G4" s="17">
        <v>0.01</v>
      </c>
      <c r="H4" s="17">
        <v>2.4500000000000002</v>
      </c>
      <c r="I4" s="17">
        <v>0.04</v>
      </c>
      <c r="J4" s="17">
        <v>3.22</v>
      </c>
      <c r="K4" s="17">
        <v>0</v>
      </c>
      <c r="L4" t="s">
        <v>177</v>
      </c>
      <c r="M4" t="s">
        <v>177</v>
      </c>
      <c r="N4" t="s">
        <v>179</v>
      </c>
      <c r="O4" t="s">
        <v>177</v>
      </c>
    </row>
    <row r="5" spans="1:15">
      <c r="A5" s="15" t="s">
        <v>153</v>
      </c>
      <c r="B5" s="17">
        <v>2.46</v>
      </c>
      <c r="C5" s="17">
        <v>7.0000000000000007E-2</v>
      </c>
      <c r="D5" s="17">
        <v>2.6</v>
      </c>
      <c r="E5" s="17">
        <v>0.04</v>
      </c>
      <c r="F5" s="17">
        <v>2.44</v>
      </c>
      <c r="G5" s="17">
        <v>0.09</v>
      </c>
      <c r="H5" s="17">
        <v>2.56</v>
      </c>
      <c r="I5" s="17">
        <v>0.08</v>
      </c>
      <c r="J5" s="17">
        <v>3.37</v>
      </c>
      <c r="K5" s="17">
        <v>0.04</v>
      </c>
      <c r="L5" t="s">
        <v>176</v>
      </c>
      <c r="M5" t="s">
        <v>176</v>
      </c>
      <c r="N5" t="s">
        <v>180</v>
      </c>
      <c r="O5" t="s">
        <v>180</v>
      </c>
    </row>
    <row r="6" spans="1:15">
      <c r="A6" s="15" t="s">
        <v>154</v>
      </c>
      <c r="B6" s="17">
        <v>2.56</v>
      </c>
      <c r="C6" s="17">
        <v>0.05</v>
      </c>
      <c r="D6" s="17">
        <v>2.58</v>
      </c>
      <c r="E6" s="17">
        <v>0.04</v>
      </c>
      <c r="F6" s="17">
        <v>2.5</v>
      </c>
      <c r="G6" s="17">
        <v>0.02</v>
      </c>
      <c r="H6" s="17">
        <v>2.64</v>
      </c>
      <c r="I6" s="17">
        <v>0.05</v>
      </c>
      <c r="J6" s="17">
        <v>3.46</v>
      </c>
      <c r="K6" s="17">
        <v>0.05</v>
      </c>
      <c r="L6" t="s">
        <v>176</v>
      </c>
      <c r="M6" t="s">
        <v>176</v>
      </c>
      <c r="N6" t="s">
        <v>176</v>
      </c>
      <c r="O6" t="s">
        <v>176</v>
      </c>
    </row>
    <row r="7" spans="1:15">
      <c r="A7" s="15"/>
      <c r="B7" s="17"/>
      <c r="C7" s="17"/>
      <c r="D7" s="17"/>
      <c r="E7" s="17"/>
      <c r="F7" s="17"/>
      <c r="G7" s="17"/>
      <c r="H7" s="17"/>
      <c r="I7" s="17"/>
    </row>
    <row r="14" spans="1:15" ht="13.8" customHeight="1"/>
  </sheetData>
  <sortState xmlns:xlrd2="http://schemas.microsoft.com/office/spreadsheetml/2017/richdata2" ref="A3:G14">
    <sortCondition descending="1" ref="A2:A14"/>
  </sortState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3:AA93"/>
  <sheetViews>
    <sheetView workbookViewId="0">
      <selection activeCell="O6" sqref="O6"/>
    </sheetView>
  </sheetViews>
  <sheetFormatPr defaultRowHeight="13.8"/>
  <cols>
    <col min="1" max="1" width="8.88671875" style="1"/>
    <col min="2" max="2" width="12" style="1" customWidth="1"/>
    <col min="3" max="3" width="8.88671875" style="1"/>
    <col min="4" max="4" width="10.6640625" style="1" customWidth="1"/>
    <col min="5" max="16384" width="8.88671875" style="1"/>
  </cols>
  <sheetData>
    <row r="3" spans="1:27">
      <c r="A3" s="1" t="e">
        <f>_xlfn.CONCAT(#REF!)</f>
        <v>#REF!</v>
      </c>
      <c r="E3"/>
      <c r="F3"/>
      <c r="G3"/>
      <c r="H3"/>
      <c r="I3"/>
      <c r="J3"/>
    </row>
    <row r="4" spans="1:27">
      <c r="A4" s="1" t="e">
        <f>_xlfn.CONCAT(#REF!)</f>
        <v>#REF!</v>
      </c>
      <c r="E4"/>
      <c r="F4"/>
      <c r="G4"/>
      <c r="H4"/>
      <c r="I4"/>
      <c r="J4"/>
    </row>
    <row r="5" spans="1:27">
      <c r="A5" s="1" t="e">
        <f>_xlfn.CONCAT(#REF!)</f>
        <v>#REF!</v>
      </c>
      <c r="D5" s="20"/>
      <c r="E5" s="20" t="s">
        <v>82</v>
      </c>
      <c r="F5" s="19" t="s">
        <v>78</v>
      </c>
      <c r="G5" s="19" t="s">
        <v>78</v>
      </c>
      <c r="H5" t="s">
        <v>78</v>
      </c>
      <c r="I5" t="s">
        <v>78</v>
      </c>
      <c r="J5" t="s">
        <v>78</v>
      </c>
      <c r="K5" s="1" t="s">
        <v>78</v>
      </c>
      <c r="L5" s="1" t="s">
        <v>78</v>
      </c>
      <c r="M5" s="1" t="s">
        <v>78</v>
      </c>
    </row>
    <row r="6" spans="1:27">
      <c r="A6" s="1" t="e">
        <f>_xlfn.CONCAT(#REF!)</f>
        <v>#REF!</v>
      </c>
      <c r="D6" s="20" t="s">
        <v>91</v>
      </c>
      <c r="E6" s="20" t="s">
        <v>112</v>
      </c>
      <c r="F6" s="19" t="s">
        <v>79</v>
      </c>
      <c r="G6" s="19" t="s">
        <v>80</v>
      </c>
      <c r="H6"/>
      <c r="I6"/>
      <c r="J6"/>
      <c r="K6"/>
      <c r="L6"/>
      <c r="M6"/>
      <c r="O6" s="1" t="str">
        <f>CONCATENATE(F6,G6,H6,I6,J6,K6,L6,M6)</f>
        <v>AB</v>
      </c>
    </row>
    <row r="7" spans="1:27">
      <c r="A7" s="1" t="e">
        <f>_xlfn.CONCAT(#REF!)</f>
        <v>#REF!</v>
      </c>
      <c r="D7" s="20" t="s">
        <v>92</v>
      </c>
      <c r="E7" s="20" t="s">
        <v>117</v>
      </c>
      <c r="F7" s="19"/>
      <c r="G7" s="19"/>
      <c r="H7"/>
      <c r="I7" t="s">
        <v>83</v>
      </c>
      <c r="J7" t="s">
        <v>84</v>
      </c>
      <c r="K7" t="s">
        <v>85</v>
      </c>
      <c r="L7"/>
      <c r="M7"/>
      <c r="N7"/>
      <c r="O7" s="1" t="str">
        <f t="shared" ref="O7:O15" si="0">CONCATENATE(F7,G7,H7,I7,J7,K7,L7,M7)</f>
        <v>DEF</v>
      </c>
      <c r="P7"/>
      <c r="Q7"/>
      <c r="R7"/>
      <c r="S7"/>
      <c r="T7"/>
      <c r="U7"/>
      <c r="V7"/>
      <c r="W7"/>
      <c r="X7"/>
      <c r="Y7"/>
      <c r="Z7"/>
      <c r="AA7"/>
    </row>
    <row r="8" spans="1:27">
      <c r="A8" s="1" t="e">
        <f>_xlfn.CONCAT(#REF!)</f>
        <v>#REF!</v>
      </c>
      <c r="D8" s="20" t="s">
        <v>93</v>
      </c>
      <c r="E8" s="20" t="s">
        <v>118</v>
      </c>
      <c r="F8" s="19"/>
      <c r="G8" s="19"/>
      <c r="H8"/>
      <c r="I8"/>
      <c r="J8" t="s">
        <v>84</v>
      </c>
      <c r="K8" t="s">
        <v>85</v>
      </c>
      <c r="L8"/>
      <c r="M8"/>
      <c r="N8"/>
      <c r="O8" s="1" t="str">
        <f t="shared" si="0"/>
        <v>EF</v>
      </c>
      <c r="P8"/>
      <c r="Q8"/>
      <c r="R8"/>
      <c r="S8"/>
      <c r="T8"/>
      <c r="U8"/>
      <c r="V8"/>
      <c r="W8"/>
      <c r="X8"/>
      <c r="Y8"/>
      <c r="Z8"/>
      <c r="AA8"/>
    </row>
    <row r="9" spans="1:27" ht="13.8" customHeight="1">
      <c r="A9" s="1" t="e">
        <f>_xlfn.CONCAT(#REF!)</f>
        <v>#REF!</v>
      </c>
      <c r="D9" s="20" t="s">
        <v>94</v>
      </c>
      <c r="E9" s="20" t="s">
        <v>119</v>
      </c>
      <c r="F9" s="19"/>
      <c r="G9" s="19"/>
      <c r="H9"/>
      <c r="I9"/>
      <c r="J9"/>
      <c r="K9" t="s">
        <v>85</v>
      </c>
      <c r="L9"/>
      <c r="M9"/>
      <c r="N9"/>
      <c r="O9" s="1" t="str">
        <f t="shared" si="0"/>
        <v>F</v>
      </c>
      <c r="P9"/>
      <c r="Q9"/>
      <c r="R9"/>
      <c r="S9"/>
      <c r="T9"/>
      <c r="U9"/>
      <c r="V9"/>
      <c r="W9"/>
      <c r="X9"/>
      <c r="Y9"/>
      <c r="Z9"/>
      <c r="AA9"/>
    </row>
    <row r="10" spans="1:27" ht="13.8" customHeight="1">
      <c r="A10" s="1" t="e">
        <f>_xlfn.CONCAT(#REF!)</f>
        <v>#REF!</v>
      </c>
      <c r="D10" s="20" t="s">
        <v>95</v>
      </c>
      <c r="E10" s="20" t="s">
        <v>120</v>
      </c>
      <c r="F10" s="19"/>
      <c r="G10" s="19"/>
      <c r="H10"/>
      <c r="I10"/>
      <c r="J10"/>
      <c r="K10" t="s">
        <v>85</v>
      </c>
      <c r="L10"/>
      <c r="M10"/>
      <c r="N10"/>
      <c r="O10" s="1" t="str">
        <f t="shared" si="0"/>
        <v>F</v>
      </c>
      <c r="P10"/>
      <c r="Q10"/>
      <c r="R10"/>
      <c r="S10"/>
      <c r="T10"/>
      <c r="U10"/>
      <c r="V10"/>
      <c r="W10"/>
      <c r="X10"/>
      <c r="Y10"/>
      <c r="Z10"/>
      <c r="AA10"/>
    </row>
    <row r="11" spans="1:27">
      <c r="A11" s="1" t="e">
        <f>_xlfn.CONCAT(#REF!)</f>
        <v>#REF!</v>
      </c>
      <c r="D11" s="20" t="s">
        <v>96</v>
      </c>
      <c r="E11" s="20" t="s">
        <v>111</v>
      </c>
      <c r="F11" s="19" t="s">
        <v>79</v>
      </c>
      <c r="G11" s="19"/>
      <c r="H11"/>
      <c r="I11"/>
      <c r="J11"/>
      <c r="K11"/>
      <c r="L11"/>
      <c r="M11"/>
      <c r="N11"/>
      <c r="O11" s="1" t="str">
        <f t="shared" si="0"/>
        <v>A</v>
      </c>
      <c r="P11"/>
      <c r="Q11"/>
      <c r="R11"/>
      <c r="S11"/>
      <c r="T11"/>
      <c r="U11"/>
      <c r="V11"/>
      <c r="W11"/>
      <c r="X11"/>
      <c r="Y11"/>
      <c r="Z11"/>
      <c r="AA11"/>
    </row>
    <row r="12" spans="1:27">
      <c r="A12" s="1" t="e">
        <f>_xlfn.CONCAT(#REF!)</f>
        <v>#REF!</v>
      </c>
      <c r="D12" s="20" t="s">
        <v>97</v>
      </c>
      <c r="E12" s="20" t="s">
        <v>113</v>
      </c>
      <c r="F12" s="19"/>
      <c r="G12" s="19" t="s">
        <v>80</v>
      </c>
      <c r="H12" t="s">
        <v>81</v>
      </c>
      <c r="I12"/>
      <c r="J12"/>
      <c r="K12"/>
      <c r="L12"/>
      <c r="M12"/>
      <c r="N12"/>
      <c r="O12" s="1" t="str">
        <f t="shared" si="0"/>
        <v>BC</v>
      </c>
      <c r="P12"/>
      <c r="Q12"/>
      <c r="R12"/>
      <c r="S12"/>
      <c r="T12"/>
      <c r="U12"/>
      <c r="V12"/>
      <c r="W12"/>
      <c r="X12"/>
      <c r="Y12"/>
      <c r="Z12"/>
      <c r="AA12"/>
    </row>
    <row r="13" spans="1:27">
      <c r="D13" s="20" t="s">
        <v>98</v>
      </c>
      <c r="E13" s="20" t="s">
        <v>114</v>
      </c>
      <c r="F13" s="19"/>
      <c r="G13" s="19" t="s">
        <v>80</v>
      </c>
      <c r="H13" t="s">
        <v>81</v>
      </c>
      <c r="I13"/>
      <c r="J13"/>
      <c r="K13"/>
      <c r="L13"/>
      <c r="M13"/>
      <c r="N13"/>
      <c r="O13" s="1" t="str">
        <f t="shared" si="0"/>
        <v>BC</v>
      </c>
      <c r="P13"/>
      <c r="Q13"/>
      <c r="R13"/>
      <c r="S13"/>
      <c r="T13"/>
      <c r="U13"/>
      <c r="V13"/>
      <c r="W13"/>
      <c r="X13"/>
      <c r="Y13"/>
      <c r="Z13"/>
      <c r="AA13"/>
    </row>
    <row r="14" spans="1:27">
      <c r="D14" s="20" t="s">
        <v>99</v>
      </c>
      <c r="E14" s="20" t="s">
        <v>115</v>
      </c>
      <c r="F14" s="19"/>
      <c r="G14" s="19" t="s">
        <v>80</v>
      </c>
      <c r="H14" t="s">
        <v>81</v>
      </c>
      <c r="I14" t="s">
        <v>83</v>
      </c>
      <c r="J14"/>
      <c r="K14"/>
      <c r="L14"/>
      <c r="M14"/>
      <c r="N14"/>
      <c r="O14" s="1" t="str">
        <f t="shared" si="0"/>
        <v>BCD</v>
      </c>
      <c r="P14"/>
      <c r="Q14"/>
      <c r="R14"/>
      <c r="S14"/>
      <c r="T14"/>
      <c r="U14"/>
      <c r="V14"/>
      <c r="W14"/>
      <c r="X14"/>
      <c r="Y14"/>
      <c r="Z14"/>
      <c r="AA14"/>
    </row>
    <row r="15" spans="1:27">
      <c r="D15" s="20" t="s">
        <v>100</v>
      </c>
      <c r="E15" s="20" t="s">
        <v>116</v>
      </c>
      <c r="F15" s="19"/>
      <c r="G15" s="19"/>
      <c r="H15" t="s">
        <v>81</v>
      </c>
      <c r="I15" t="s">
        <v>83</v>
      </c>
      <c r="J15" t="s">
        <v>84</v>
      </c>
      <c r="K15"/>
      <c r="L15"/>
      <c r="M15"/>
      <c r="N15"/>
      <c r="O15" s="1" t="str">
        <f t="shared" si="0"/>
        <v>CDE</v>
      </c>
      <c r="P15"/>
      <c r="Q15"/>
      <c r="R15"/>
      <c r="S15"/>
      <c r="T15"/>
      <c r="U15"/>
      <c r="V15"/>
      <c r="W15"/>
      <c r="X15"/>
      <c r="Y15"/>
      <c r="Z15"/>
      <c r="AA15"/>
    </row>
    <row r="16" spans="1:27">
      <c r="D16" s="20"/>
      <c r="E16" s="20"/>
      <c r="F16" s="19"/>
      <c r="G16" s="19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2:27">
      <c r="D17" s="20"/>
      <c r="E17" s="20"/>
      <c r="F17" s="19"/>
      <c r="G17" s="19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2:27" ht="13.8" customHeight="1">
      <c r="D18" s="20"/>
      <c r="E18" s="20"/>
      <c r="F18" s="19"/>
      <c r="G18" s="19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2:27" ht="13.8" customHeight="1">
      <c r="D19" s="20"/>
      <c r="E19" s="20"/>
      <c r="F19" s="19"/>
      <c r="G19" s="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2:27">
      <c r="B20" s="16"/>
      <c r="C20" s="14" t="s">
        <v>101</v>
      </c>
      <c r="D20" s="15" t="s">
        <v>77</v>
      </c>
      <c r="E20" s="15" t="s">
        <v>101</v>
      </c>
      <c r="F20" s="15" t="s">
        <v>77</v>
      </c>
      <c r="G20" s="15" t="s">
        <v>101</v>
      </c>
      <c r="H20" s="15" t="s">
        <v>77</v>
      </c>
      <c r="I20" s="15" t="s">
        <v>101</v>
      </c>
      <c r="J20" s="15" t="s">
        <v>77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2:27">
      <c r="B21" s="14" t="s">
        <v>91</v>
      </c>
      <c r="C21" s="17">
        <v>3.29</v>
      </c>
      <c r="D21" s="17">
        <v>0.63</v>
      </c>
      <c r="E21" s="17">
        <v>2.29</v>
      </c>
      <c r="F21" s="17">
        <v>0.41</v>
      </c>
      <c r="G21" s="17">
        <v>5.42</v>
      </c>
      <c r="H21" s="17">
        <v>0.14000000000000001</v>
      </c>
      <c r="I21" s="17">
        <v>21.78</v>
      </c>
      <c r="J21" s="17">
        <v>4.57</v>
      </c>
      <c r="K21" t="s">
        <v>102</v>
      </c>
      <c r="L21" t="s">
        <v>85</v>
      </c>
      <c r="M21" t="s">
        <v>109</v>
      </c>
      <c r="N21" t="s">
        <v>105</v>
      </c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2:27">
      <c r="B22" s="15" t="s">
        <v>92</v>
      </c>
      <c r="C22" s="17">
        <v>2.89</v>
      </c>
      <c r="D22" s="17">
        <v>0.28999999999999998</v>
      </c>
      <c r="E22" s="17">
        <v>5.52</v>
      </c>
      <c r="F22" s="17">
        <v>0.79</v>
      </c>
      <c r="G22" s="17">
        <v>6.12</v>
      </c>
      <c r="H22" s="17">
        <v>0.31</v>
      </c>
      <c r="I22" s="17">
        <v>7.26</v>
      </c>
      <c r="J22" s="17">
        <v>1.23</v>
      </c>
      <c r="K22" t="s">
        <v>103</v>
      </c>
      <c r="L22" t="s">
        <v>107</v>
      </c>
      <c r="M22" t="s">
        <v>102</v>
      </c>
      <c r="N22" t="s">
        <v>121</v>
      </c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2:27" customFormat="1">
      <c r="B23" s="15" t="s">
        <v>93</v>
      </c>
      <c r="C23" s="17">
        <v>4.49</v>
      </c>
      <c r="D23" s="17">
        <v>0.02</v>
      </c>
      <c r="E23" s="17">
        <v>7.62</v>
      </c>
      <c r="F23" s="17">
        <v>0.35</v>
      </c>
      <c r="G23" s="17">
        <v>6.38</v>
      </c>
      <c r="H23" s="17">
        <v>0.68</v>
      </c>
      <c r="I23" s="17">
        <v>4.3499999999999996</v>
      </c>
      <c r="J23" s="17">
        <v>0.4</v>
      </c>
      <c r="K23" t="s">
        <v>104</v>
      </c>
      <c r="L23" t="s">
        <v>81</v>
      </c>
      <c r="M23" t="s">
        <v>110</v>
      </c>
      <c r="N23" t="s">
        <v>108</v>
      </c>
    </row>
    <row r="24" spans="2:27">
      <c r="B24" s="15" t="s">
        <v>94</v>
      </c>
      <c r="C24" s="17">
        <v>5.04</v>
      </c>
      <c r="D24" s="17">
        <v>0.04</v>
      </c>
      <c r="E24" s="17">
        <v>10.65</v>
      </c>
      <c r="F24" s="17">
        <v>0.05</v>
      </c>
      <c r="G24" s="17">
        <v>7.27</v>
      </c>
      <c r="H24" s="17">
        <v>0.54</v>
      </c>
      <c r="I24" s="17">
        <v>3.44</v>
      </c>
      <c r="J24" s="17">
        <v>0.15</v>
      </c>
      <c r="K24" t="s">
        <v>105</v>
      </c>
      <c r="L24" t="s">
        <v>80</v>
      </c>
      <c r="M24" t="s">
        <v>105</v>
      </c>
      <c r="N24" t="s">
        <v>85</v>
      </c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2:27">
      <c r="B25" s="15" t="s">
        <v>95</v>
      </c>
      <c r="C25" s="17">
        <v>5.68</v>
      </c>
      <c r="D25" s="17">
        <v>0.11</v>
      </c>
      <c r="E25" s="17">
        <v>12.78</v>
      </c>
      <c r="F25" s="17">
        <v>0.73</v>
      </c>
      <c r="G25" s="17">
        <v>8.16</v>
      </c>
      <c r="H25" s="17">
        <v>0.56000000000000005</v>
      </c>
      <c r="I25" s="17">
        <v>3.06</v>
      </c>
      <c r="J25" s="17">
        <v>0.16</v>
      </c>
      <c r="K25" t="s">
        <v>79</v>
      </c>
      <c r="L25" t="s">
        <v>79</v>
      </c>
      <c r="M25" t="s">
        <v>79</v>
      </c>
      <c r="N25" t="s">
        <v>85</v>
      </c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2:27">
      <c r="B26" s="15" t="s">
        <v>96</v>
      </c>
      <c r="C26" s="17">
        <v>3</v>
      </c>
      <c r="D26" s="17">
        <v>0.01</v>
      </c>
      <c r="E26" s="17">
        <v>2.34</v>
      </c>
      <c r="F26" s="17">
        <v>0.24</v>
      </c>
      <c r="G26" s="17">
        <v>4.79</v>
      </c>
      <c r="H26" s="17">
        <v>0.25</v>
      </c>
      <c r="I26" s="17">
        <v>28.64</v>
      </c>
      <c r="J26" s="17">
        <v>2.48</v>
      </c>
      <c r="K26" t="s">
        <v>103</v>
      </c>
      <c r="L26" t="s">
        <v>85</v>
      </c>
      <c r="M26" t="s">
        <v>107</v>
      </c>
      <c r="N26" t="s">
        <v>79</v>
      </c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2:27">
      <c r="B27" s="15" t="s">
        <v>97</v>
      </c>
      <c r="C27" s="17">
        <v>3.85</v>
      </c>
      <c r="D27" s="17">
        <v>1.23</v>
      </c>
      <c r="E27" s="17">
        <v>3.75</v>
      </c>
      <c r="F27" s="17">
        <v>0.32</v>
      </c>
      <c r="G27" s="17">
        <v>4.3600000000000003</v>
      </c>
      <c r="H27" s="17">
        <v>0.16</v>
      </c>
      <c r="I27" s="17">
        <v>18.54</v>
      </c>
      <c r="J27" s="17">
        <v>1.29</v>
      </c>
      <c r="K27" t="s">
        <v>106</v>
      </c>
      <c r="L27" t="s">
        <v>108</v>
      </c>
      <c r="M27" t="s">
        <v>84</v>
      </c>
      <c r="N27" t="s">
        <v>110</v>
      </c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2:27">
      <c r="B28" s="15" t="s">
        <v>98</v>
      </c>
      <c r="C28" s="17">
        <v>2.5</v>
      </c>
      <c r="D28" s="17">
        <v>0.32</v>
      </c>
      <c r="E28" s="17">
        <v>4.4800000000000004</v>
      </c>
      <c r="F28" s="17">
        <v>0.02</v>
      </c>
      <c r="G28" s="17">
        <v>4.3</v>
      </c>
      <c r="H28" s="17">
        <v>0.03</v>
      </c>
      <c r="I28" s="17">
        <v>15.85</v>
      </c>
      <c r="J28" s="17">
        <v>0.19</v>
      </c>
      <c r="K28" t="s">
        <v>103</v>
      </c>
      <c r="L28" t="s">
        <v>107</v>
      </c>
      <c r="M28" t="s">
        <v>84</v>
      </c>
      <c r="N28" t="s">
        <v>110</v>
      </c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2:27">
      <c r="B29" s="15" t="s">
        <v>99</v>
      </c>
      <c r="C29" s="17">
        <v>2.85</v>
      </c>
      <c r="D29" s="17">
        <v>0.35</v>
      </c>
      <c r="E29" s="17">
        <v>5.0999999999999996</v>
      </c>
      <c r="F29" s="17">
        <v>0.98</v>
      </c>
      <c r="G29" s="17">
        <v>4.26</v>
      </c>
      <c r="H29" s="17">
        <v>0.12</v>
      </c>
      <c r="I29" s="17">
        <v>14.24</v>
      </c>
      <c r="J29" s="17">
        <v>2.5499999999999998</v>
      </c>
      <c r="K29" t="s">
        <v>103</v>
      </c>
      <c r="L29" t="s">
        <v>107</v>
      </c>
      <c r="M29" t="s">
        <v>84</v>
      </c>
      <c r="N29" t="s">
        <v>102</v>
      </c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2:27">
      <c r="B30" s="15" t="s">
        <v>100</v>
      </c>
      <c r="C30" s="17">
        <v>1.99</v>
      </c>
      <c r="D30" s="17">
        <v>0.61</v>
      </c>
      <c r="E30" s="17">
        <v>6.25</v>
      </c>
      <c r="F30" s="17">
        <v>0.23</v>
      </c>
      <c r="G30" s="17">
        <v>4.24</v>
      </c>
      <c r="H30" s="17">
        <v>0.02</v>
      </c>
      <c r="I30" s="17">
        <v>11.53</v>
      </c>
      <c r="J30" s="17">
        <v>0.48</v>
      </c>
      <c r="K30" t="s">
        <v>83</v>
      </c>
      <c r="L30" t="s">
        <v>103</v>
      </c>
      <c r="M30" t="s">
        <v>84</v>
      </c>
      <c r="N30" t="s">
        <v>109</v>
      </c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2:27">
      <c r="B31" s="15"/>
      <c r="C31" s="17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2:27">
      <c r="B32" s="15"/>
      <c r="C32" s="17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2:27">
      <c r="B33" s="15"/>
      <c r="C33" s="17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2:27">
      <c r="B34" s="15"/>
      <c r="C34" s="17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2:27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2:27"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2:27"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2:27"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2:27"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2:27"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2:27"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2:27"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2:27"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2:27"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4:27"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4:27"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4:27"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4:27"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4:27"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4:27"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4:27"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4:27"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4:27"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4:27"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4:27"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4:27"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4:27"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4:27"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4:27"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4:27"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4:27"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4:27"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4:27"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4:27"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4:27"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4:27"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4:27"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4:27"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4:27"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4:27"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4:27"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4:27"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4:27"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4:27"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4:27"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4:27"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4:27"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4:27"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4:27"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4:27"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4:27"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4:27"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4:27"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4:27"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4:27"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4:27"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4:27"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4:27"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4:27"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</sheetData>
  <autoFilter ref="D5:M15" xr:uid="{00000000-0001-0000-0400-000000000000}">
    <sortState xmlns:xlrd2="http://schemas.microsoft.com/office/spreadsheetml/2017/richdata2" ref="D6:M15">
      <sortCondition ref="D5:D15"/>
    </sortState>
  </autoFilter>
  <sortState xmlns:xlrd2="http://schemas.microsoft.com/office/spreadsheetml/2017/richdata2" ref="D25:J39">
    <sortCondition ref="D25:D39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ANOVA_marker_clear">
          <controlPr defaultSize="0" autoLine="0" r:id="rId5">
            <anchor moveWithCells="1">
              <from>
                <xdr:col>0</xdr:col>
                <xdr:colOff>0</xdr:colOff>
                <xdr:row>1</xdr:row>
                <xdr:rowOff>22860</xdr:rowOff>
              </from>
              <to>
                <xdr:col>1</xdr:col>
                <xdr:colOff>76200</xdr:colOff>
                <xdr:row>2</xdr:row>
                <xdr:rowOff>129540</xdr:rowOff>
              </to>
            </anchor>
          </controlPr>
        </control>
      </mc:Choice>
      <mc:Fallback>
        <control shapeId="10252" r:id="rId4" name="ANOVA_marker_clear"/>
      </mc:Fallback>
    </mc:AlternateContent>
    <mc:AlternateContent xmlns:mc="http://schemas.openxmlformats.org/markup-compatibility/2006">
      <mc:Choice Requires="x14">
        <control shapeId="10253" r:id="rId6" name="ANOVA_marker_copy">
          <controlPr defaultSize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53340</xdr:colOff>
                <xdr:row>3</xdr:row>
                <xdr:rowOff>152400</xdr:rowOff>
              </to>
            </anchor>
          </controlPr>
        </control>
      </mc:Choice>
      <mc:Fallback>
        <control shapeId="10253" r:id="rId6" name="ANOVA_marker_cop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106"/>
  <sheetViews>
    <sheetView topLeftCell="A38" zoomScale="55" zoomScaleNormal="55" workbookViewId="0">
      <selection activeCell="A91" sqref="A91:P94"/>
    </sheetView>
  </sheetViews>
  <sheetFormatPr defaultRowHeight="13.8"/>
  <cols>
    <col min="1" max="1" width="15.77734375" style="2" customWidth="1"/>
    <col min="2" max="2" width="8.88671875" style="2"/>
  </cols>
  <sheetData>
    <row r="1" spans="1:2">
      <c r="A1"/>
      <c r="B1"/>
    </row>
    <row r="2" spans="1:2">
      <c r="A2"/>
      <c r="B2"/>
    </row>
    <row r="3" spans="1:2">
      <c r="A3"/>
      <c r="B3"/>
    </row>
    <row r="4" spans="1:2">
      <c r="A4"/>
      <c r="B4"/>
    </row>
    <row r="5" spans="1:2">
      <c r="A5"/>
      <c r="B5"/>
    </row>
    <row r="6" spans="1:2">
      <c r="A6"/>
      <c r="B6"/>
    </row>
    <row r="7" spans="1:2">
      <c r="A7"/>
      <c r="B7"/>
    </row>
    <row r="8" spans="1:2">
      <c r="A8"/>
      <c r="B8"/>
    </row>
    <row r="9" spans="1:2">
      <c r="A9"/>
      <c r="B9"/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 ht="16.2" customHeight="1">
      <c r="A21"/>
      <c r="B21"/>
    </row>
    <row r="22" spans="1:2" ht="16.2" customHeight="1">
      <c r="A22"/>
      <c r="B22"/>
    </row>
    <row r="23" spans="1:2" ht="16.2" customHeight="1">
      <c r="A23"/>
      <c r="B23"/>
    </row>
    <row r="24" spans="1:2" ht="16.2" customHeight="1">
      <c r="A24"/>
      <c r="B24"/>
    </row>
    <row r="25" spans="1:2" ht="16.2" customHeight="1">
      <c r="A25"/>
      <c r="B25"/>
    </row>
    <row r="26" spans="1:2" ht="16.2" customHeight="1">
      <c r="A26"/>
      <c r="B26"/>
    </row>
    <row r="27" spans="1:2" ht="16.2" customHeight="1">
      <c r="A27"/>
      <c r="B27"/>
    </row>
    <row r="28" spans="1:2" ht="16.2" customHeight="1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16">
      <c r="A49"/>
      <c r="B49"/>
    </row>
    <row r="50" spans="1:16">
      <c r="A50"/>
      <c r="B50"/>
    </row>
    <row r="51" spans="1:16">
      <c r="A51"/>
      <c r="B51"/>
    </row>
    <row r="52" spans="1:16">
      <c r="A52"/>
      <c r="B52"/>
    </row>
    <row r="53" spans="1:16">
      <c r="A53"/>
      <c r="B53"/>
    </row>
    <row r="54" spans="1:16">
      <c r="A54"/>
      <c r="B54"/>
    </row>
    <row r="55" spans="1:16">
      <c r="A55"/>
      <c r="B55"/>
    </row>
    <row r="56" spans="1:16">
      <c r="A56"/>
      <c r="B56"/>
    </row>
    <row r="57" spans="1:16">
      <c r="A57"/>
      <c r="B57"/>
    </row>
    <row r="58" spans="1:16">
      <c r="A58"/>
      <c r="B58"/>
    </row>
    <row r="59" spans="1:16">
      <c r="A59"/>
      <c r="B59"/>
    </row>
    <row r="60" spans="1:16">
      <c r="A60"/>
      <c r="B60"/>
    </row>
    <row r="61" spans="1:16" s="2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>
      <c r="A62"/>
      <c r="B62"/>
    </row>
    <row r="63" spans="1:16">
      <c r="A63"/>
      <c r="B63"/>
    </row>
    <row r="64" spans="1:16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 ht="12.6" customHeight="1">
      <c r="A88"/>
      <c r="B88"/>
    </row>
    <row r="89" spans="1:2" hidden="1">
      <c r="A89"/>
      <c r="B89"/>
    </row>
    <row r="90" spans="1:2" hidden="1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ommandButton1">
          <controlPr defaultSize="0" print="0" autoLine="0" r:id="rId5">
            <anchor moveWithCells="1">
              <from>
                <xdr:col>9</xdr:col>
                <xdr:colOff>525780</xdr:colOff>
                <xdr:row>14</xdr:row>
                <xdr:rowOff>15240</xdr:rowOff>
              </from>
              <to>
                <xdr:col>11</xdr:col>
                <xdr:colOff>121920</xdr:colOff>
                <xdr:row>16</xdr:row>
                <xdr:rowOff>68580</xdr:rowOff>
              </to>
            </anchor>
          </controlPr>
        </control>
      </mc:Choice>
      <mc:Fallback>
        <control shapeId="1229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1"/>
  <dimension ref="A1:C3"/>
  <sheetViews>
    <sheetView workbookViewId="0">
      <selection activeCell="C4" sqref="C4"/>
    </sheetView>
  </sheetViews>
  <sheetFormatPr defaultRowHeight="13.8"/>
  <cols>
    <col min="1" max="16384" width="8.88671875" style="1"/>
  </cols>
  <sheetData>
    <row r="1" spans="1:3">
      <c r="B1" s="13" t="s">
        <v>74</v>
      </c>
      <c r="C1" s="13" t="s">
        <v>76</v>
      </c>
    </row>
    <row r="2" spans="1:3" ht="13.8" customHeight="1">
      <c r="A2" s="13" t="s">
        <v>73</v>
      </c>
      <c r="B2" s="1">
        <v>123</v>
      </c>
      <c r="C2" s="13">
        <v>432</v>
      </c>
    </row>
    <row r="3" spans="1:3">
      <c r="A3" s="13" t="s">
        <v>75</v>
      </c>
      <c r="B3" s="1">
        <v>321</v>
      </c>
      <c r="C3" s="1">
        <v>432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Q35"/>
  <sheetViews>
    <sheetView zoomScale="70" zoomScaleNormal="70" workbookViewId="0">
      <selection activeCell="C6" sqref="C6"/>
    </sheetView>
  </sheetViews>
  <sheetFormatPr defaultRowHeight="13.8"/>
  <cols>
    <col min="5" max="10" width="11.77734375" customWidth="1"/>
  </cols>
  <sheetData>
    <row r="1" spans="1:17" ht="16.8" thickBot="1">
      <c r="A1" t="s">
        <v>72</v>
      </c>
      <c r="J1" s="9" t="s">
        <v>70</v>
      </c>
      <c r="K1" s="9" t="s">
        <v>71</v>
      </c>
      <c r="L1" s="10" t="s">
        <v>9</v>
      </c>
      <c r="M1" s="11" t="s">
        <v>11</v>
      </c>
      <c r="N1" s="12" t="s">
        <v>10</v>
      </c>
      <c r="O1" s="11" t="s">
        <v>12</v>
      </c>
      <c r="P1" s="11" t="s">
        <v>13</v>
      </c>
      <c r="Q1" s="11" t="s">
        <v>14</v>
      </c>
    </row>
    <row r="2" spans="1:17">
      <c r="C2" s="5" t="s">
        <v>45</v>
      </c>
      <c r="D2" s="5" t="s">
        <v>46</v>
      </c>
      <c r="E2" s="5" t="s">
        <v>47</v>
      </c>
      <c r="F2" s="5" t="s">
        <v>48</v>
      </c>
      <c r="G2" s="5" t="s">
        <v>49</v>
      </c>
      <c r="H2" s="5" t="s">
        <v>50</v>
      </c>
      <c r="I2" s="5" t="s">
        <v>51</v>
      </c>
      <c r="J2" s="6" t="s">
        <v>1</v>
      </c>
      <c r="K2" s="5" t="s">
        <v>2</v>
      </c>
      <c r="L2" s="5" t="s">
        <v>3</v>
      </c>
      <c r="M2" t="s">
        <v>5</v>
      </c>
      <c r="N2" t="s">
        <v>4</v>
      </c>
      <c r="O2" t="s">
        <v>6</v>
      </c>
      <c r="P2" t="s">
        <v>7</v>
      </c>
      <c r="Q2" t="s">
        <v>8</v>
      </c>
    </row>
    <row r="3" spans="1:17">
      <c r="C3" s="5" t="s">
        <v>0</v>
      </c>
      <c r="D3" s="5" t="s">
        <v>52</v>
      </c>
      <c r="E3" s="5" t="s">
        <v>53</v>
      </c>
      <c r="F3" s="5" t="s">
        <v>52</v>
      </c>
      <c r="G3" s="5" t="s">
        <v>52</v>
      </c>
      <c r="H3" s="5" t="s">
        <v>52</v>
      </c>
      <c r="I3" s="5" t="s">
        <v>53</v>
      </c>
      <c r="J3" s="6" t="s">
        <v>0</v>
      </c>
      <c r="K3" s="5" t="s">
        <v>0</v>
      </c>
      <c r="L3" s="5" t="s">
        <v>52</v>
      </c>
    </row>
    <row r="4" spans="1:17">
      <c r="C4" s="5" t="s">
        <v>45</v>
      </c>
      <c r="D4" s="5" t="s">
        <v>54</v>
      </c>
      <c r="E4" s="5" t="s">
        <v>55</v>
      </c>
      <c r="F4" s="5" t="s">
        <v>56</v>
      </c>
      <c r="G4" s="5" t="s">
        <v>57</v>
      </c>
      <c r="H4" s="5" t="s">
        <v>58</v>
      </c>
      <c r="I4" s="5" t="s">
        <v>59</v>
      </c>
      <c r="J4" s="6" t="s">
        <v>60</v>
      </c>
      <c r="K4" s="5" t="s">
        <v>61</v>
      </c>
      <c r="L4" s="5" t="s">
        <v>62</v>
      </c>
      <c r="M4" s="3" t="s">
        <v>63</v>
      </c>
      <c r="N4" t="s">
        <v>64</v>
      </c>
      <c r="O4" t="s">
        <v>65</v>
      </c>
      <c r="P4" t="s">
        <v>66</v>
      </c>
      <c r="Q4" t="s">
        <v>67</v>
      </c>
    </row>
    <row r="5" spans="1:17">
      <c r="A5" t="s">
        <v>15</v>
      </c>
      <c r="C5">
        <v>4381.0129999999999</v>
      </c>
      <c r="D5">
        <v>27867.931</v>
      </c>
      <c r="E5">
        <v>12.425000000000001</v>
      </c>
      <c r="F5">
        <v>37605.781000000003</v>
      </c>
      <c r="G5">
        <v>9737.8510000000006</v>
      </c>
      <c r="H5">
        <v>26765.076000000001</v>
      </c>
      <c r="I5">
        <v>10.96</v>
      </c>
      <c r="J5">
        <v>4749.8220000000001</v>
      </c>
      <c r="L5">
        <v>-1.419</v>
      </c>
      <c r="M5">
        <v>0.88200000000000001</v>
      </c>
      <c r="N5">
        <v>0.71199999999999997</v>
      </c>
      <c r="O5">
        <v>3380.58</v>
      </c>
      <c r="P5">
        <v>2981.9839999999999</v>
      </c>
      <c r="Q5">
        <v>0.34899999999999998</v>
      </c>
    </row>
    <row r="6" spans="1:17">
      <c r="A6" t="s">
        <v>16</v>
      </c>
      <c r="C6">
        <v>4812.3500000000004</v>
      </c>
      <c r="D6">
        <v>28259.360000000001</v>
      </c>
      <c r="E6">
        <v>12.39</v>
      </c>
      <c r="F6">
        <v>38256.625999999997</v>
      </c>
      <c r="G6">
        <v>9997.2659999999996</v>
      </c>
      <c r="H6">
        <v>27671.564999999999</v>
      </c>
      <c r="I6">
        <v>11.065</v>
      </c>
      <c r="J6">
        <v>5197.5959999999995</v>
      </c>
      <c r="L6">
        <v>-1.589</v>
      </c>
      <c r="M6">
        <v>0.89300000000000002</v>
      </c>
      <c r="N6">
        <v>0.72299999999999998</v>
      </c>
      <c r="O6">
        <v>3759.4960000000001</v>
      </c>
      <c r="P6">
        <v>3357.451</v>
      </c>
      <c r="Q6">
        <v>0.35399999999999998</v>
      </c>
    </row>
    <row r="7" spans="1:17">
      <c r="A7" t="s">
        <v>17</v>
      </c>
      <c r="C7">
        <v>2654.875</v>
      </c>
      <c r="D7">
        <v>15625.148999999999</v>
      </c>
      <c r="E7">
        <v>12.175000000000001</v>
      </c>
      <c r="F7">
        <v>22214.174999999999</v>
      </c>
      <c r="G7">
        <v>6589.027</v>
      </c>
      <c r="H7">
        <v>17230.136999999999</v>
      </c>
      <c r="I7">
        <v>10.91</v>
      </c>
      <c r="J7">
        <v>2817.8249999999998</v>
      </c>
      <c r="L7">
        <v>-0.63400000000000001</v>
      </c>
      <c r="M7">
        <v>0.89600000000000002</v>
      </c>
      <c r="N7">
        <v>0.77600000000000002</v>
      </c>
      <c r="O7">
        <v>2185.6089999999999</v>
      </c>
      <c r="P7">
        <v>1958.521</v>
      </c>
      <c r="Q7">
        <v>0.42199999999999999</v>
      </c>
    </row>
    <row r="8" spans="1:17">
      <c r="A8" t="s">
        <v>18</v>
      </c>
      <c r="C8">
        <v>2779.652</v>
      </c>
      <c r="D8">
        <v>16511.57</v>
      </c>
      <c r="E8">
        <v>12.32</v>
      </c>
      <c r="F8">
        <v>23538.026999999998</v>
      </c>
      <c r="G8">
        <v>7026.4560000000001</v>
      </c>
      <c r="H8">
        <v>18375.341</v>
      </c>
      <c r="I8">
        <v>10.96</v>
      </c>
      <c r="J8">
        <v>2941.174</v>
      </c>
      <c r="L8">
        <v>-0.89800000000000002</v>
      </c>
      <c r="M8">
        <v>0.89</v>
      </c>
      <c r="N8">
        <v>0.78100000000000003</v>
      </c>
      <c r="O8">
        <v>2296.0749999999998</v>
      </c>
      <c r="P8">
        <v>2042.6120000000001</v>
      </c>
      <c r="Q8">
        <v>0.42599999999999999</v>
      </c>
    </row>
    <row r="9" spans="1:17">
      <c r="A9" t="s">
        <v>19</v>
      </c>
      <c r="C9">
        <v>3294.529</v>
      </c>
      <c r="D9">
        <v>18767.530999999999</v>
      </c>
      <c r="E9">
        <v>12.685</v>
      </c>
      <c r="F9">
        <v>26373.066999999999</v>
      </c>
      <c r="G9">
        <v>7605.5360000000001</v>
      </c>
      <c r="H9">
        <v>20273.032999999999</v>
      </c>
      <c r="I9">
        <v>10.865</v>
      </c>
      <c r="J9">
        <v>3506.8879999999999</v>
      </c>
      <c r="L9">
        <v>-1.004</v>
      </c>
      <c r="M9">
        <v>0.85699999999999998</v>
      </c>
      <c r="N9">
        <v>0.76900000000000002</v>
      </c>
      <c r="O9">
        <v>2695.752</v>
      </c>
      <c r="P9">
        <v>2308.9749999999999</v>
      </c>
      <c r="Q9">
        <v>0.40500000000000003</v>
      </c>
    </row>
    <row r="10" spans="1:17">
      <c r="A10" t="s">
        <v>20</v>
      </c>
      <c r="C10">
        <v>3367.558</v>
      </c>
      <c r="D10">
        <v>20767.344000000001</v>
      </c>
      <c r="E10">
        <v>12.98</v>
      </c>
      <c r="F10">
        <v>29044.526999999998</v>
      </c>
      <c r="G10">
        <v>8277.1830000000009</v>
      </c>
      <c r="H10">
        <v>22083.146000000001</v>
      </c>
      <c r="I10">
        <v>11.945</v>
      </c>
      <c r="J10">
        <v>3592.1909999999998</v>
      </c>
      <c r="L10">
        <v>-1.234</v>
      </c>
      <c r="M10">
        <v>0.92</v>
      </c>
      <c r="N10">
        <v>0.76</v>
      </c>
      <c r="O10">
        <v>2731.2159999999999</v>
      </c>
      <c r="P10">
        <v>2513.4340000000002</v>
      </c>
      <c r="Q10">
        <v>0.39900000000000002</v>
      </c>
    </row>
    <row r="11" spans="1:17">
      <c r="A11" t="s">
        <v>21</v>
      </c>
      <c r="C11">
        <v>3923.7689999999998</v>
      </c>
      <c r="D11">
        <v>17419.368999999999</v>
      </c>
      <c r="E11">
        <v>12.785</v>
      </c>
      <c r="F11">
        <v>25668.780999999999</v>
      </c>
      <c r="G11">
        <v>8249.4120000000003</v>
      </c>
      <c r="H11">
        <v>20750.829000000002</v>
      </c>
      <c r="I11">
        <v>10.73</v>
      </c>
      <c r="J11">
        <v>4159.9059999999999</v>
      </c>
      <c r="L11">
        <v>-0.877</v>
      </c>
      <c r="M11">
        <v>0.83899999999999997</v>
      </c>
      <c r="N11">
        <v>0.80800000000000005</v>
      </c>
      <c r="O11">
        <v>3362.8989999999999</v>
      </c>
      <c r="P11">
        <v>2822.3620000000001</v>
      </c>
      <c r="Q11">
        <v>0.47399999999999998</v>
      </c>
    </row>
    <row r="12" spans="1:17">
      <c r="A12" t="s">
        <v>22</v>
      </c>
      <c r="C12">
        <v>6576.33</v>
      </c>
      <c r="D12">
        <v>39912.830999999998</v>
      </c>
      <c r="E12">
        <v>12.515000000000001</v>
      </c>
      <c r="F12">
        <v>53632.423000000003</v>
      </c>
      <c r="G12">
        <v>13719.591</v>
      </c>
      <c r="H12">
        <v>38165.686999999998</v>
      </c>
      <c r="I12">
        <v>10.68</v>
      </c>
      <c r="J12">
        <v>7170.1030000000001</v>
      </c>
      <c r="L12">
        <v>-4.33</v>
      </c>
      <c r="M12">
        <v>0.85299999999999998</v>
      </c>
      <c r="N12">
        <v>0.71199999999999997</v>
      </c>
      <c r="O12">
        <v>5102.3590000000004</v>
      </c>
      <c r="P12">
        <v>4354.2309999999998</v>
      </c>
      <c r="Q12">
        <v>0.34399999999999997</v>
      </c>
    </row>
    <row r="13" spans="1:17">
      <c r="A13" t="s">
        <v>23</v>
      </c>
      <c r="C13">
        <v>2344.35</v>
      </c>
      <c r="D13">
        <v>14559.242</v>
      </c>
      <c r="E13">
        <v>12.705</v>
      </c>
      <c r="F13">
        <v>20181.708999999999</v>
      </c>
      <c r="G13">
        <v>5622.4669999999996</v>
      </c>
      <c r="H13">
        <v>15239.679</v>
      </c>
      <c r="I13">
        <v>10.86</v>
      </c>
      <c r="J13">
        <v>2502.9180000000001</v>
      </c>
      <c r="L13">
        <v>-1.1419999999999999</v>
      </c>
      <c r="M13">
        <v>0.85499999999999998</v>
      </c>
      <c r="N13">
        <v>0.755</v>
      </c>
      <c r="O13">
        <v>1890.011</v>
      </c>
      <c r="P13">
        <v>1615.547</v>
      </c>
      <c r="Q13">
        <v>0.38600000000000001</v>
      </c>
    </row>
    <row r="14" spans="1:17">
      <c r="A14" t="s">
        <v>24</v>
      </c>
      <c r="C14">
        <v>3639.4969999999998</v>
      </c>
      <c r="D14">
        <v>22216.437999999998</v>
      </c>
      <c r="E14">
        <v>12.62</v>
      </c>
      <c r="F14">
        <v>30155.795999999998</v>
      </c>
      <c r="G14">
        <v>7939.3580000000002</v>
      </c>
      <c r="H14">
        <v>21969.809000000001</v>
      </c>
      <c r="I14">
        <v>10.895</v>
      </c>
      <c r="J14">
        <v>3917.058</v>
      </c>
      <c r="L14">
        <v>-1.456</v>
      </c>
      <c r="M14">
        <v>0.86299999999999999</v>
      </c>
      <c r="N14">
        <v>0.72899999999999998</v>
      </c>
      <c r="O14">
        <v>2853.748</v>
      </c>
      <c r="P14">
        <v>2463.6750000000002</v>
      </c>
      <c r="Q14">
        <v>0.35699999999999998</v>
      </c>
    </row>
    <row r="15" spans="1:17">
      <c r="A15" t="s">
        <v>25</v>
      </c>
    </row>
    <row r="16" spans="1:17">
      <c r="A16" t="s">
        <v>26</v>
      </c>
    </row>
    <row r="17" spans="1:17">
      <c r="A17" t="s">
        <v>27</v>
      </c>
    </row>
    <row r="18" spans="1:17">
      <c r="A18" t="s">
        <v>28</v>
      </c>
    </row>
    <row r="19" spans="1:17">
      <c r="A19" t="s">
        <v>44</v>
      </c>
    </row>
    <row r="20" spans="1:17">
      <c r="C20" s="7" t="s">
        <v>68</v>
      </c>
      <c r="D20" s="7" t="s">
        <v>69</v>
      </c>
      <c r="E20" s="7" t="s">
        <v>53</v>
      </c>
      <c r="F20" s="7" t="s">
        <v>69</v>
      </c>
      <c r="G20" s="7" t="s">
        <v>69</v>
      </c>
      <c r="H20" s="7" t="s">
        <v>69</v>
      </c>
      <c r="I20" s="7" t="s">
        <v>53</v>
      </c>
      <c r="J20" s="8" t="s">
        <v>68</v>
      </c>
      <c r="K20" s="7" t="s">
        <v>68</v>
      </c>
      <c r="L20" s="7" t="s">
        <v>69</v>
      </c>
    </row>
    <row r="21" spans="1:17">
      <c r="A21" t="s">
        <v>29</v>
      </c>
      <c r="C21">
        <f>ROUND(C5*0.0098,3)</f>
        <v>42.933999999999997</v>
      </c>
      <c r="D21">
        <f>ROUND(D5*0.0098,30)</f>
        <v>273.10572380000002</v>
      </c>
      <c r="E21">
        <f>E5</f>
        <v>12.425000000000001</v>
      </c>
      <c r="F21">
        <f>ROUND(F5*0.0098,3)</f>
        <v>368.53699999999998</v>
      </c>
      <c r="G21">
        <f>ROUND(G5*0.0098,3)</f>
        <v>95.430999999999997</v>
      </c>
      <c r="H21">
        <f>ROUND(H5*0.0098,3)</f>
        <v>262.298</v>
      </c>
      <c r="I21">
        <f>I5</f>
        <v>10.96</v>
      </c>
      <c r="J21" s="4">
        <f>ROUND(J5*0.0098,3)</f>
        <v>46.548000000000002</v>
      </c>
      <c r="L21">
        <f>-ROUND(L5*0.0098,3)</f>
        <v>1.4E-2</v>
      </c>
      <c r="M21">
        <f>ROUND(I21/E21,3)</f>
        <v>0.88200000000000001</v>
      </c>
      <c r="N21">
        <f>ROUND(H21/F21,3)</f>
        <v>0.71199999999999997</v>
      </c>
      <c r="O21">
        <f>ROUND(J21*N21,3)</f>
        <v>33.142000000000003</v>
      </c>
      <c r="P21">
        <f>ROUND(O21*M21,3)</f>
        <v>29.231000000000002</v>
      </c>
      <c r="Q21">
        <f>ROUND(G21/D21,3)</f>
        <v>0.34899999999999998</v>
      </c>
    </row>
    <row r="22" spans="1:17">
      <c r="A22" t="s">
        <v>30</v>
      </c>
      <c r="C22">
        <f t="shared" ref="C22:C35" si="0">ROUND(C6*0.0098,3)</f>
        <v>47.161000000000001</v>
      </c>
      <c r="D22">
        <f t="shared" ref="D22:D35" si="1">ROUND(D6*0.0098,30)</f>
        <v>276.94172800000001</v>
      </c>
      <c r="E22">
        <f t="shared" ref="E22:E35" si="2">E6</f>
        <v>12.39</v>
      </c>
      <c r="F22">
        <f t="shared" ref="F22:H22" si="3">ROUND(F6*0.0098,3)</f>
        <v>374.91500000000002</v>
      </c>
      <c r="G22">
        <f t="shared" si="3"/>
        <v>97.972999999999999</v>
      </c>
      <c r="H22">
        <f t="shared" si="3"/>
        <v>271.18099999999998</v>
      </c>
      <c r="I22">
        <f t="shared" ref="I22:I35" si="4">I6</f>
        <v>11.065</v>
      </c>
      <c r="J22" s="4">
        <f t="shared" ref="J22:J35" si="5">ROUND(J6*0.0098,3)</f>
        <v>50.936</v>
      </c>
      <c r="L22">
        <f t="shared" ref="L22:L35" si="6">-ROUND(L6*0.0098,3)</f>
        <v>1.6E-2</v>
      </c>
      <c r="M22">
        <f t="shared" ref="M22:M35" si="7">ROUND(I22/E22,3)</f>
        <v>0.89300000000000002</v>
      </c>
      <c r="N22">
        <f t="shared" ref="N22:N35" si="8">ROUND(H22/F22,3)</f>
        <v>0.72299999999999998</v>
      </c>
      <c r="O22">
        <f t="shared" ref="O22:O35" si="9">ROUND(J22*N22,3)</f>
        <v>36.826999999999998</v>
      </c>
      <c r="P22">
        <f t="shared" ref="P22:P35" si="10">ROUND(O22*M22,3)</f>
        <v>32.887</v>
      </c>
      <c r="Q22">
        <f t="shared" ref="Q22:Q35" si="11">ROUND(G22/D22,3)</f>
        <v>0.35399999999999998</v>
      </c>
    </row>
    <row r="23" spans="1:17">
      <c r="A23" t="s">
        <v>31</v>
      </c>
      <c r="C23">
        <f t="shared" si="0"/>
        <v>26.018000000000001</v>
      </c>
      <c r="D23">
        <f t="shared" si="1"/>
        <v>153.1264602</v>
      </c>
      <c r="E23">
        <f t="shared" si="2"/>
        <v>12.175000000000001</v>
      </c>
      <c r="F23">
        <f t="shared" ref="F23:H23" si="12">ROUND(F7*0.0098,3)</f>
        <v>217.69900000000001</v>
      </c>
      <c r="G23">
        <f t="shared" si="12"/>
        <v>64.572000000000003</v>
      </c>
      <c r="H23">
        <f t="shared" si="12"/>
        <v>168.85499999999999</v>
      </c>
      <c r="I23">
        <f t="shared" si="4"/>
        <v>10.91</v>
      </c>
      <c r="J23" s="4">
        <f t="shared" si="5"/>
        <v>27.614999999999998</v>
      </c>
      <c r="L23">
        <f t="shared" si="6"/>
        <v>6.0000000000000001E-3</v>
      </c>
      <c r="M23">
        <f t="shared" si="7"/>
        <v>0.89600000000000002</v>
      </c>
      <c r="N23">
        <f t="shared" si="8"/>
        <v>0.77600000000000002</v>
      </c>
      <c r="O23">
        <f t="shared" si="9"/>
        <v>21.428999999999998</v>
      </c>
      <c r="P23">
        <f t="shared" si="10"/>
        <v>19.2</v>
      </c>
      <c r="Q23">
        <f t="shared" si="11"/>
        <v>0.42199999999999999</v>
      </c>
    </row>
    <row r="24" spans="1:17">
      <c r="A24" t="s">
        <v>32</v>
      </c>
      <c r="C24">
        <f t="shared" si="0"/>
        <v>27.241</v>
      </c>
      <c r="D24">
        <f t="shared" si="1"/>
        <v>161.81338600000001</v>
      </c>
      <c r="E24">
        <f t="shared" si="2"/>
        <v>12.32</v>
      </c>
      <c r="F24">
        <f t="shared" ref="F24:H24" si="13">ROUND(F8*0.0098,3)</f>
        <v>230.673</v>
      </c>
      <c r="G24">
        <f t="shared" si="13"/>
        <v>68.858999999999995</v>
      </c>
      <c r="H24">
        <f t="shared" si="13"/>
        <v>180.078</v>
      </c>
      <c r="I24">
        <f t="shared" si="4"/>
        <v>10.96</v>
      </c>
      <c r="J24" s="4">
        <f t="shared" si="5"/>
        <v>28.824000000000002</v>
      </c>
      <c r="L24">
        <f t="shared" si="6"/>
        <v>8.9999999999999993E-3</v>
      </c>
      <c r="M24">
        <f t="shared" si="7"/>
        <v>0.89</v>
      </c>
      <c r="N24">
        <f t="shared" si="8"/>
        <v>0.78100000000000003</v>
      </c>
      <c r="O24">
        <f t="shared" si="9"/>
        <v>22.512</v>
      </c>
      <c r="P24">
        <f t="shared" si="10"/>
        <v>20.036000000000001</v>
      </c>
      <c r="Q24">
        <f t="shared" si="11"/>
        <v>0.42599999999999999</v>
      </c>
    </row>
    <row r="25" spans="1:17">
      <c r="A25" t="s">
        <v>33</v>
      </c>
      <c r="C25">
        <f t="shared" si="0"/>
        <v>32.286000000000001</v>
      </c>
      <c r="D25">
        <f t="shared" si="1"/>
        <v>183.92180379999999</v>
      </c>
      <c r="E25">
        <f t="shared" si="2"/>
        <v>12.685</v>
      </c>
      <c r="F25">
        <f t="shared" ref="F25:H25" si="14">ROUND(F9*0.0098,3)</f>
        <v>258.45600000000002</v>
      </c>
      <c r="G25">
        <f t="shared" si="14"/>
        <v>74.534000000000006</v>
      </c>
      <c r="H25">
        <f t="shared" si="14"/>
        <v>198.67599999999999</v>
      </c>
      <c r="I25">
        <f t="shared" si="4"/>
        <v>10.865</v>
      </c>
      <c r="J25" s="4">
        <f t="shared" si="5"/>
        <v>34.368000000000002</v>
      </c>
      <c r="L25">
        <f t="shared" si="6"/>
        <v>0.01</v>
      </c>
      <c r="M25">
        <f t="shared" si="7"/>
        <v>0.85699999999999998</v>
      </c>
      <c r="N25">
        <f t="shared" si="8"/>
        <v>0.76900000000000002</v>
      </c>
      <c r="O25">
        <f t="shared" si="9"/>
        <v>26.428999999999998</v>
      </c>
      <c r="P25">
        <f t="shared" si="10"/>
        <v>22.65</v>
      </c>
      <c r="Q25">
        <f t="shared" si="11"/>
        <v>0.40500000000000003</v>
      </c>
    </row>
    <row r="26" spans="1:17">
      <c r="A26" t="s">
        <v>34</v>
      </c>
      <c r="C26">
        <f t="shared" si="0"/>
        <v>33.002000000000002</v>
      </c>
      <c r="D26">
        <f t="shared" si="1"/>
        <v>203.51997119999999</v>
      </c>
      <c r="E26">
        <f t="shared" si="2"/>
        <v>12.98</v>
      </c>
      <c r="F26">
        <f t="shared" ref="F26:H26" si="15">ROUND(F10*0.0098,3)</f>
        <v>284.63600000000002</v>
      </c>
      <c r="G26">
        <f t="shared" si="15"/>
        <v>81.116</v>
      </c>
      <c r="H26">
        <f t="shared" si="15"/>
        <v>216.41499999999999</v>
      </c>
      <c r="I26">
        <f t="shared" si="4"/>
        <v>11.945</v>
      </c>
      <c r="J26" s="4">
        <f t="shared" si="5"/>
        <v>35.203000000000003</v>
      </c>
      <c r="L26">
        <f t="shared" si="6"/>
        <v>1.2E-2</v>
      </c>
      <c r="M26">
        <f t="shared" si="7"/>
        <v>0.92</v>
      </c>
      <c r="N26">
        <f t="shared" si="8"/>
        <v>0.76</v>
      </c>
      <c r="O26">
        <f t="shared" si="9"/>
        <v>26.754000000000001</v>
      </c>
      <c r="P26">
        <f t="shared" si="10"/>
        <v>24.614000000000001</v>
      </c>
      <c r="Q26">
        <f t="shared" si="11"/>
        <v>0.39900000000000002</v>
      </c>
    </row>
    <row r="27" spans="1:17">
      <c r="A27" t="s">
        <v>35</v>
      </c>
      <c r="C27">
        <f t="shared" si="0"/>
        <v>38.453000000000003</v>
      </c>
      <c r="D27">
        <f t="shared" si="1"/>
        <v>170.70981620000001</v>
      </c>
      <c r="E27">
        <f t="shared" si="2"/>
        <v>12.785</v>
      </c>
      <c r="F27">
        <f t="shared" ref="F27:H27" si="16">ROUND(F11*0.0098,3)</f>
        <v>251.554</v>
      </c>
      <c r="G27">
        <f t="shared" si="16"/>
        <v>80.843999999999994</v>
      </c>
      <c r="H27">
        <f t="shared" si="16"/>
        <v>203.358</v>
      </c>
      <c r="I27">
        <f t="shared" si="4"/>
        <v>10.73</v>
      </c>
      <c r="J27" s="4">
        <f t="shared" si="5"/>
        <v>40.767000000000003</v>
      </c>
      <c r="L27">
        <f t="shared" si="6"/>
        <v>8.9999999999999993E-3</v>
      </c>
      <c r="M27">
        <f t="shared" si="7"/>
        <v>0.83899999999999997</v>
      </c>
      <c r="N27">
        <f t="shared" si="8"/>
        <v>0.80800000000000005</v>
      </c>
      <c r="O27">
        <f t="shared" si="9"/>
        <v>32.94</v>
      </c>
      <c r="P27">
        <f t="shared" si="10"/>
        <v>27.637</v>
      </c>
      <c r="Q27">
        <f t="shared" si="11"/>
        <v>0.47399999999999998</v>
      </c>
    </row>
    <row r="28" spans="1:17">
      <c r="A28" t="s">
        <v>36</v>
      </c>
      <c r="C28">
        <f t="shared" si="0"/>
        <v>64.447999999999993</v>
      </c>
      <c r="D28">
        <f t="shared" si="1"/>
        <v>391.14574379999999</v>
      </c>
      <c r="E28">
        <f t="shared" si="2"/>
        <v>12.515000000000001</v>
      </c>
      <c r="F28">
        <f t="shared" ref="F28:H28" si="17">ROUND(F12*0.0098,3)</f>
        <v>525.59799999999996</v>
      </c>
      <c r="G28">
        <f t="shared" si="17"/>
        <v>134.452</v>
      </c>
      <c r="H28">
        <f t="shared" si="17"/>
        <v>374.024</v>
      </c>
      <c r="I28">
        <f t="shared" si="4"/>
        <v>10.68</v>
      </c>
      <c r="J28" s="4">
        <f t="shared" si="5"/>
        <v>70.266999999999996</v>
      </c>
      <c r="L28">
        <f t="shared" si="6"/>
        <v>4.2000000000000003E-2</v>
      </c>
      <c r="M28">
        <f t="shared" si="7"/>
        <v>0.85299999999999998</v>
      </c>
      <c r="N28">
        <f t="shared" si="8"/>
        <v>0.71199999999999997</v>
      </c>
      <c r="O28">
        <f t="shared" si="9"/>
        <v>50.03</v>
      </c>
      <c r="P28">
        <f t="shared" si="10"/>
        <v>42.676000000000002</v>
      </c>
      <c r="Q28">
        <f t="shared" si="11"/>
        <v>0.34399999999999997</v>
      </c>
    </row>
    <row r="29" spans="1:17">
      <c r="A29" t="s">
        <v>37</v>
      </c>
      <c r="C29">
        <f>ROUND(C13*0.0098,3)</f>
        <v>22.975000000000001</v>
      </c>
      <c r="D29">
        <f>ROUND(D13*0.0098,30)</f>
        <v>142.68057160000001</v>
      </c>
      <c r="E29">
        <f>E13</f>
        <v>12.705</v>
      </c>
      <c r="F29">
        <f>ROUND(F13*0.0098,3)</f>
        <v>197.78100000000001</v>
      </c>
      <c r="G29">
        <f>ROUND(G13*0.0098,3)</f>
        <v>55.1</v>
      </c>
      <c r="H29">
        <f>ROUND(H13*0.0098,3)</f>
        <v>149.34899999999999</v>
      </c>
      <c r="I29">
        <f>I13</f>
        <v>10.86</v>
      </c>
      <c r="J29" s="4">
        <f t="shared" si="5"/>
        <v>24.529</v>
      </c>
      <c r="L29">
        <f t="shared" si="6"/>
        <v>1.0999999999999999E-2</v>
      </c>
      <c r="M29">
        <f t="shared" si="7"/>
        <v>0.85499999999999998</v>
      </c>
      <c r="N29">
        <f t="shared" si="8"/>
        <v>0.755</v>
      </c>
      <c r="O29">
        <f t="shared" si="9"/>
        <v>18.518999999999998</v>
      </c>
      <c r="P29">
        <f t="shared" si="10"/>
        <v>15.834</v>
      </c>
      <c r="Q29">
        <f t="shared" si="11"/>
        <v>0.38600000000000001</v>
      </c>
    </row>
    <row r="30" spans="1:17">
      <c r="A30" t="s">
        <v>38</v>
      </c>
      <c r="C30">
        <f t="shared" si="0"/>
        <v>35.667000000000002</v>
      </c>
      <c r="D30">
        <f t="shared" si="1"/>
        <v>217.7210924</v>
      </c>
      <c r="E30">
        <f t="shared" si="2"/>
        <v>12.62</v>
      </c>
      <c r="F30">
        <f t="shared" ref="F30:H30" si="18">ROUND(F14*0.0098,3)</f>
        <v>295.52699999999999</v>
      </c>
      <c r="G30">
        <f t="shared" si="18"/>
        <v>77.805999999999997</v>
      </c>
      <c r="H30">
        <f t="shared" si="18"/>
        <v>215.304</v>
      </c>
      <c r="I30">
        <f t="shared" si="4"/>
        <v>10.895</v>
      </c>
      <c r="J30" s="4">
        <f t="shared" si="5"/>
        <v>38.387</v>
      </c>
      <c r="L30">
        <f t="shared" si="6"/>
        <v>1.4E-2</v>
      </c>
      <c r="M30">
        <f t="shared" si="7"/>
        <v>0.86299999999999999</v>
      </c>
      <c r="N30">
        <f t="shared" si="8"/>
        <v>0.72899999999999998</v>
      </c>
      <c r="O30">
        <f t="shared" si="9"/>
        <v>27.984000000000002</v>
      </c>
      <c r="P30">
        <f t="shared" si="10"/>
        <v>24.15</v>
      </c>
      <c r="Q30">
        <f t="shared" si="11"/>
        <v>0.35699999999999998</v>
      </c>
    </row>
    <row r="31" spans="1:17">
      <c r="A31" t="s">
        <v>39</v>
      </c>
      <c r="C31">
        <f t="shared" si="0"/>
        <v>0</v>
      </c>
      <c r="D31">
        <f t="shared" si="1"/>
        <v>0</v>
      </c>
      <c r="E31">
        <f t="shared" si="2"/>
        <v>0</v>
      </c>
      <c r="F31">
        <f t="shared" ref="F31:H31" si="19">ROUND(F15*0.0098,3)</f>
        <v>0</v>
      </c>
      <c r="G31">
        <f t="shared" si="19"/>
        <v>0</v>
      </c>
      <c r="H31">
        <f t="shared" si="19"/>
        <v>0</v>
      </c>
      <c r="I31">
        <f t="shared" si="4"/>
        <v>0</v>
      </c>
      <c r="J31" s="4">
        <f t="shared" si="5"/>
        <v>0</v>
      </c>
      <c r="L31">
        <f t="shared" si="6"/>
        <v>0</v>
      </c>
      <c r="M31" t="e">
        <f t="shared" si="7"/>
        <v>#DIV/0!</v>
      </c>
      <c r="N31" t="e">
        <f t="shared" si="8"/>
        <v>#DIV/0!</v>
      </c>
      <c r="O31" t="e">
        <f t="shared" si="9"/>
        <v>#DIV/0!</v>
      </c>
      <c r="P31" t="e">
        <f t="shared" si="10"/>
        <v>#DIV/0!</v>
      </c>
      <c r="Q31" t="e">
        <f t="shared" si="11"/>
        <v>#DIV/0!</v>
      </c>
    </row>
    <row r="32" spans="1:17">
      <c r="A32" t="s">
        <v>40</v>
      </c>
      <c r="C32">
        <f t="shared" si="0"/>
        <v>0</v>
      </c>
      <c r="D32">
        <f t="shared" si="1"/>
        <v>0</v>
      </c>
      <c r="E32">
        <f t="shared" si="2"/>
        <v>0</v>
      </c>
      <c r="F32">
        <f t="shared" ref="F32:H32" si="20">ROUND(F16*0.0098,3)</f>
        <v>0</v>
      </c>
      <c r="G32">
        <f t="shared" si="20"/>
        <v>0</v>
      </c>
      <c r="H32">
        <f t="shared" si="20"/>
        <v>0</v>
      </c>
      <c r="I32">
        <f t="shared" si="4"/>
        <v>0</v>
      </c>
      <c r="J32" s="4">
        <f t="shared" si="5"/>
        <v>0</v>
      </c>
      <c r="L32">
        <f t="shared" si="6"/>
        <v>0</v>
      </c>
      <c r="M32" t="e">
        <f t="shared" si="7"/>
        <v>#DIV/0!</v>
      </c>
      <c r="N32" t="e">
        <f t="shared" si="8"/>
        <v>#DIV/0!</v>
      </c>
      <c r="O32" t="e">
        <f t="shared" si="9"/>
        <v>#DIV/0!</v>
      </c>
      <c r="P32" t="e">
        <f t="shared" si="10"/>
        <v>#DIV/0!</v>
      </c>
      <c r="Q32" t="e">
        <f t="shared" si="11"/>
        <v>#DIV/0!</v>
      </c>
    </row>
    <row r="33" spans="1:17">
      <c r="A33" t="s">
        <v>41</v>
      </c>
      <c r="C33">
        <f t="shared" si="0"/>
        <v>0</v>
      </c>
      <c r="D33">
        <f t="shared" si="1"/>
        <v>0</v>
      </c>
      <c r="E33">
        <f t="shared" si="2"/>
        <v>0</v>
      </c>
      <c r="F33">
        <f t="shared" ref="F33:H33" si="21">ROUND(F17*0.0098,3)</f>
        <v>0</v>
      </c>
      <c r="G33">
        <f t="shared" si="21"/>
        <v>0</v>
      </c>
      <c r="H33">
        <f t="shared" si="21"/>
        <v>0</v>
      </c>
      <c r="I33">
        <f t="shared" si="4"/>
        <v>0</v>
      </c>
      <c r="J33" s="4">
        <f t="shared" si="5"/>
        <v>0</v>
      </c>
      <c r="L33">
        <f t="shared" si="6"/>
        <v>0</v>
      </c>
      <c r="M33" t="e">
        <f t="shared" si="7"/>
        <v>#DIV/0!</v>
      </c>
      <c r="N33" t="e">
        <f t="shared" si="8"/>
        <v>#DIV/0!</v>
      </c>
      <c r="O33" t="e">
        <f t="shared" si="9"/>
        <v>#DIV/0!</v>
      </c>
      <c r="P33" t="e">
        <f t="shared" si="10"/>
        <v>#DIV/0!</v>
      </c>
      <c r="Q33" t="e">
        <f t="shared" si="11"/>
        <v>#DIV/0!</v>
      </c>
    </row>
    <row r="34" spans="1:17">
      <c r="A34" t="s">
        <v>42</v>
      </c>
      <c r="C34">
        <f t="shared" si="0"/>
        <v>0</v>
      </c>
      <c r="D34">
        <f t="shared" si="1"/>
        <v>0</v>
      </c>
      <c r="E34">
        <f t="shared" si="2"/>
        <v>0</v>
      </c>
      <c r="F34">
        <f t="shared" ref="F34:H34" si="22">ROUND(F18*0.0098,3)</f>
        <v>0</v>
      </c>
      <c r="G34">
        <f t="shared" si="22"/>
        <v>0</v>
      </c>
      <c r="H34">
        <f t="shared" si="22"/>
        <v>0</v>
      </c>
      <c r="I34">
        <f t="shared" si="4"/>
        <v>0</v>
      </c>
      <c r="J34" s="4">
        <f t="shared" si="5"/>
        <v>0</v>
      </c>
      <c r="L34">
        <f t="shared" si="6"/>
        <v>0</v>
      </c>
      <c r="M34" t="e">
        <f t="shared" si="7"/>
        <v>#DIV/0!</v>
      </c>
      <c r="N34" t="e">
        <f t="shared" si="8"/>
        <v>#DIV/0!</v>
      </c>
      <c r="O34" t="e">
        <f t="shared" si="9"/>
        <v>#DIV/0!</v>
      </c>
      <c r="P34" t="e">
        <f t="shared" si="10"/>
        <v>#DIV/0!</v>
      </c>
      <c r="Q34" t="e">
        <f t="shared" si="11"/>
        <v>#DIV/0!</v>
      </c>
    </row>
    <row r="35" spans="1:17">
      <c r="A35" t="s">
        <v>43</v>
      </c>
      <c r="C35">
        <f t="shared" si="0"/>
        <v>0</v>
      </c>
      <c r="D35">
        <f t="shared" si="1"/>
        <v>0</v>
      </c>
      <c r="E35">
        <f t="shared" si="2"/>
        <v>0</v>
      </c>
      <c r="F35">
        <f t="shared" ref="F35:H35" si="23">ROUND(F19*0.0098,3)</f>
        <v>0</v>
      </c>
      <c r="G35">
        <f t="shared" si="23"/>
        <v>0</v>
      </c>
      <c r="H35">
        <f t="shared" si="23"/>
        <v>0</v>
      </c>
      <c r="I35">
        <f t="shared" si="4"/>
        <v>0</v>
      </c>
      <c r="J35" s="4">
        <f t="shared" si="5"/>
        <v>0</v>
      </c>
      <c r="L35">
        <f t="shared" si="6"/>
        <v>0</v>
      </c>
      <c r="M35" t="e">
        <f t="shared" si="7"/>
        <v>#DIV/0!</v>
      </c>
      <c r="N35" t="e">
        <f t="shared" si="8"/>
        <v>#DIV/0!</v>
      </c>
      <c r="O35" t="e">
        <f t="shared" si="9"/>
        <v>#DIV/0!</v>
      </c>
      <c r="P35" t="e">
        <f t="shared" si="10"/>
        <v>#DIV/0!</v>
      </c>
      <c r="Q35" t="e">
        <f t="shared" si="11"/>
        <v>#DIV/0!</v>
      </c>
    </row>
  </sheetData>
  <protectedRanges>
    <protectedRange sqref="B5:Q19" name="输入数据"/>
  </protectedRange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删除">
          <controlPr defaultSize="0" autoLine="0" r:id="rId5">
            <anchor moveWithCells="1">
              <from>
                <xdr:col>0</xdr:col>
                <xdr:colOff>7620</xdr:colOff>
                <xdr:row>1</xdr:row>
                <xdr:rowOff>60960</xdr:rowOff>
              </from>
              <to>
                <xdr:col>0</xdr:col>
                <xdr:colOff>579120</xdr:colOff>
                <xdr:row>2</xdr:row>
                <xdr:rowOff>129540</xdr:rowOff>
              </to>
            </anchor>
          </controlPr>
        </control>
      </mc:Choice>
      <mc:Fallback>
        <control shapeId="25604" r:id="rId4" name="删除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>
      <selection activeCell="L21" sqref="L21"/>
    </sheetView>
  </sheetViews>
  <sheetFormatPr defaultRowHeight="13.8"/>
  <sheetData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5D455-D1B6-44B4-B9A3-DBE78E0F89EC}">
  <sheetPr codeName="Sheet3"/>
  <dimension ref="A1:AL13"/>
  <sheetViews>
    <sheetView workbookViewId="0">
      <selection activeCell="B17" sqref="B17"/>
    </sheetView>
  </sheetViews>
  <sheetFormatPr defaultRowHeight="13.8"/>
  <sheetData>
    <row r="1" spans="1:38">
      <c r="A1" t="s">
        <v>90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</row>
    <row r="2" spans="1:38">
      <c r="A2">
        <v>1</v>
      </c>
      <c r="B2">
        <v>0.16800000000000001</v>
      </c>
      <c r="C2">
        <v>0.17199999999999999</v>
      </c>
      <c r="D2">
        <v>0.16800000000000001</v>
      </c>
      <c r="E2">
        <v>0.16900000000000001</v>
      </c>
      <c r="F2">
        <v>0.17100000000000001</v>
      </c>
      <c r="G2">
        <v>0.17100000000000001</v>
      </c>
      <c r="H2">
        <v>0.17</v>
      </c>
      <c r="I2">
        <v>0.14699999999999999</v>
      </c>
      <c r="J2">
        <v>0.14799999999999999</v>
      </c>
      <c r="K2">
        <v>0.16900000000000001</v>
      </c>
      <c r="L2">
        <v>0.17199999999999999</v>
      </c>
      <c r="M2">
        <v>0.151</v>
      </c>
      <c r="N2">
        <v>0.152</v>
      </c>
      <c r="O2">
        <v>1E-3</v>
      </c>
      <c r="P2">
        <v>0.17199999999999999</v>
      </c>
      <c r="Q2">
        <v>0.17</v>
      </c>
      <c r="R2">
        <v>0.14899999999999999</v>
      </c>
      <c r="S2">
        <v>0.15</v>
      </c>
      <c r="T2">
        <v>0.151</v>
      </c>
      <c r="U2">
        <v>0.152</v>
      </c>
      <c r="V2">
        <v>0.17299999999999999</v>
      </c>
      <c r="W2">
        <v>0.17199999999999999</v>
      </c>
      <c r="X2">
        <v>0.14899999999999999</v>
      </c>
      <c r="Y2">
        <v>0.152</v>
      </c>
      <c r="Z2">
        <v>0.151</v>
      </c>
    </row>
    <row r="3" spans="1:38">
      <c r="A3">
        <v>2</v>
      </c>
      <c r="B3">
        <v>0.81899999999999995</v>
      </c>
      <c r="C3">
        <v>0.81399999999999995</v>
      </c>
      <c r="D3">
        <v>0.81799999999999995</v>
      </c>
      <c r="E3">
        <v>0.81699999999999995</v>
      </c>
      <c r="F3">
        <v>0.81399999999999995</v>
      </c>
      <c r="G3">
        <v>0.81299999999999994</v>
      </c>
      <c r="H3">
        <v>0.81</v>
      </c>
      <c r="I3">
        <v>0.83599999999999997</v>
      </c>
      <c r="J3">
        <v>0.83599999999999997</v>
      </c>
      <c r="K3">
        <v>0.81299999999999994</v>
      </c>
      <c r="L3">
        <v>0.80500000000000005</v>
      </c>
      <c r="M3">
        <v>0.82599999999999996</v>
      </c>
      <c r="N3">
        <v>0.82799999999999996</v>
      </c>
      <c r="O3">
        <v>0.16900000000000001</v>
      </c>
      <c r="P3">
        <v>0.80900000000000005</v>
      </c>
      <c r="Q3">
        <v>0.80600000000000005</v>
      </c>
      <c r="R3">
        <v>0.83099999999999996</v>
      </c>
      <c r="S3">
        <v>0.83</v>
      </c>
      <c r="T3">
        <v>0.83099999999999996</v>
      </c>
      <c r="U3">
        <v>0.82799999999999996</v>
      </c>
      <c r="V3">
        <v>0.80600000000000005</v>
      </c>
      <c r="W3">
        <v>0.80700000000000005</v>
      </c>
      <c r="X3">
        <v>0.82899999999999996</v>
      </c>
      <c r="Y3">
        <v>0.83</v>
      </c>
      <c r="Z3">
        <v>0.82599999999999996</v>
      </c>
    </row>
    <row r="4" spans="1:38">
      <c r="A4">
        <v>3</v>
      </c>
      <c r="B4">
        <v>1.2999999999999999E-2</v>
      </c>
      <c r="C4">
        <v>1.4E-2</v>
      </c>
      <c r="D4">
        <v>1.4E-2</v>
      </c>
      <c r="E4">
        <v>1.4E-2</v>
      </c>
      <c r="F4">
        <v>1.6E-2</v>
      </c>
      <c r="G4">
        <v>1.6E-2</v>
      </c>
      <c r="H4">
        <v>1.9E-2</v>
      </c>
      <c r="I4">
        <v>1.7000000000000001E-2</v>
      </c>
      <c r="J4">
        <v>1.6E-2</v>
      </c>
      <c r="K4">
        <v>1.7999999999999999E-2</v>
      </c>
      <c r="L4">
        <v>2.1999999999999999E-2</v>
      </c>
      <c r="M4">
        <v>2.3E-2</v>
      </c>
      <c r="N4">
        <v>0.02</v>
      </c>
      <c r="O4">
        <v>0.81</v>
      </c>
      <c r="P4">
        <v>0.02</v>
      </c>
      <c r="Q4">
        <v>2.4E-2</v>
      </c>
      <c r="R4">
        <v>0.02</v>
      </c>
      <c r="S4">
        <v>0.02</v>
      </c>
      <c r="T4">
        <v>1.7999999999999999E-2</v>
      </c>
      <c r="U4">
        <v>0.02</v>
      </c>
      <c r="V4">
        <v>2.1000000000000001E-2</v>
      </c>
      <c r="W4">
        <v>2.1999999999999999E-2</v>
      </c>
      <c r="X4">
        <v>2.1999999999999999E-2</v>
      </c>
      <c r="Y4">
        <v>1.9E-2</v>
      </c>
      <c r="Z4">
        <v>2.1999999999999999E-2</v>
      </c>
    </row>
    <row r="5" spans="1:38">
      <c r="A5">
        <v>4</v>
      </c>
      <c r="E5">
        <v>0</v>
      </c>
      <c r="J5">
        <v>0</v>
      </c>
      <c r="L5">
        <v>0</v>
      </c>
      <c r="N5">
        <v>0</v>
      </c>
      <c r="O5">
        <v>0.02</v>
      </c>
      <c r="S5">
        <v>0</v>
      </c>
      <c r="X5">
        <v>0</v>
      </c>
    </row>
    <row r="6" spans="1:38">
      <c r="A6">
        <v>5</v>
      </c>
      <c r="D6">
        <v>0</v>
      </c>
      <c r="N6">
        <v>2E-3</v>
      </c>
    </row>
    <row r="8" spans="1:38">
      <c r="B8" s="28" t="s">
        <v>86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38"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</row>
    <row r="10" spans="1:38">
      <c r="B10" s="18" t="str">
        <f>B1</f>
        <v>FA-1.1</v>
      </c>
      <c r="C10" s="18" t="str">
        <f t="shared" ref="C10:AL10" si="0">C1</f>
        <v>FA-2.1</v>
      </c>
      <c r="D10" s="18" t="str">
        <f t="shared" si="0"/>
        <v>FA-3.1</v>
      </c>
      <c r="E10" s="18" t="str">
        <f t="shared" si="0"/>
        <v>FA-4.1</v>
      </c>
      <c r="F10" s="18" t="str">
        <f t="shared" si="0"/>
        <v>FA-5.1</v>
      </c>
      <c r="G10" s="18" t="str">
        <f t="shared" si="0"/>
        <v>FB-1.1</v>
      </c>
      <c r="H10" s="18" t="str">
        <f t="shared" si="0"/>
        <v>FB-2.1</v>
      </c>
      <c r="I10" s="18" t="str">
        <f t="shared" si="0"/>
        <v>FB-3.1</v>
      </c>
      <c r="J10" s="18" t="str">
        <f t="shared" si="0"/>
        <v>FB-4.1</v>
      </c>
      <c r="K10" s="18" t="str">
        <f t="shared" si="0"/>
        <v>FB-5.1</v>
      </c>
      <c r="L10" s="18" t="str">
        <f t="shared" si="0"/>
        <v>FC-1.1</v>
      </c>
      <c r="M10" s="18" t="str">
        <f t="shared" si="0"/>
        <v>FC-2.1</v>
      </c>
      <c r="N10" s="18" t="str">
        <f t="shared" si="0"/>
        <v>FC-3.1</v>
      </c>
      <c r="O10" s="18" t="str">
        <f t="shared" si="0"/>
        <v>FC-4.1</v>
      </c>
      <c r="P10" s="18" t="str">
        <f t="shared" si="0"/>
        <v>FC-5.1</v>
      </c>
      <c r="Q10" s="18" t="str">
        <f t="shared" si="0"/>
        <v>FD-1.1</v>
      </c>
      <c r="R10" s="18" t="str">
        <f t="shared" si="0"/>
        <v>FD-2.1</v>
      </c>
      <c r="S10" s="18" t="str">
        <f t="shared" si="0"/>
        <v>FD-3.1</v>
      </c>
      <c r="T10" s="18" t="str">
        <f t="shared" si="0"/>
        <v>FD-4.1</v>
      </c>
      <c r="U10" s="18" t="str">
        <f t="shared" si="0"/>
        <v>FD-5.1</v>
      </c>
      <c r="V10" s="18" t="str">
        <f t="shared" si="0"/>
        <v>FE-1.1</v>
      </c>
      <c r="W10" s="18" t="str">
        <f t="shared" si="0"/>
        <v>FE-2.1</v>
      </c>
      <c r="X10" s="18" t="str">
        <f t="shared" si="0"/>
        <v>FE-3.1</v>
      </c>
      <c r="Y10" s="18" t="str">
        <f t="shared" si="0"/>
        <v>FE-4.1</v>
      </c>
      <c r="Z10" s="18" t="str">
        <f t="shared" si="0"/>
        <v>FE-5.1</v>
      </c>
      <c r="AA10" s="18">
        <f t="shared" si="0"/>
        <v>0</v>
      </c>
      <c r="AB10" s="18">
        <f t="shared" si="0"/>
        <v>0</v>
      </c>
      <c r="AC10" s="18">
        <f t="shared" si="0"/>
        <v>0</v>
      </c>
      <c r="AD10" s="18">
        <f t="shared" si="0"/>
        <v>0</v>
      </c>
      <c r="AE10" s="18">
        <f t="shared" si="0"/>
        <v>0</v>
      </c>
      <c r="AF10" s="18">
        <f t="shared" si="0"/>
        <v>0</v>
      </c>
      <c r="AG10" s="18">
        <f t="shared" si="0"/>
        <v>0</v>
      </c>
      <c r="AH10" s="18">
        <f t="shared" si="0"/>
        <v>0</v>
      </c>
      <c r="AI10" s="18">
        <f t="shared" si="0"/>
        <v>0</v>
      </c>
      <c r="AJ10" s="18">
        <f t="shared" si="0"/>
        <v>0</v>
      </c>
      <c r="AK10" s="18">
        <f t="shared" si="0"/>
        <v>0</v>
      </c>
      <c r="AL10" s="18">
        <f t="shared" si="0"/>
        <v>0</v>
      </c>
    </row>
    <row r="11" spans="1:38">
      <c r="A11" t="s">
        <v>87</v>
      </c>
      <c r="B11">
        <f>IF(B2&lt;0.1,B2+B3,B2)</f>
        <v>0.16800000000000001</v>
      </c>
      <c r="C11">
        <f t="shared" ref="C11:AA11" si="1">IF(C2&lt;0.1,C2+C3,C2)</f>
        <v>0.17199999999999999</v>
      </c>
      <c r="D11">
        <f t="shared" si="1"/>
        <v>0.16800000000000001</v>
      </c>
      <c r="E11">
        <f t="shared" si="1"/>
        <v>0.16900000000000001</v>
      </c>
      <c r="F11">
        <f t="shared" si="1"/>
        <v>0.17100000000000001</v>
      </c>
      <c r="G11">
        <f t="shared" si="1"/>
        <v>0.17100000000000001</v>
      </c>
      <c r="H11">
        <f t="shared" si="1"/>
        <v>0.17</v>
      </c>
      <c r="I11">
        <f t="shared" si="1"/>
        <v>0.14699999999999999</v>
      </c>
      <c r="J11">
        <f t="shared" si="1"/>
        <v>0.14799999999999999</v>
      </c>
      <c r="K11">
        <f t="shared" si="1"/>
        <v>0.16900000000000001</v>
      </c>
      <c r="L11">
        <f t="shared" si="1"/>
        <v>0.17199999999999999</v>
      </c>
      <c r="M11">
        <f t="shared" si="1"/>
        <v>0.151</v>
      </c>
      <c r="N11">
        <f t="shared" si="1"/>
        <v>0.152</v>
      </c>
      <c r="O11">
        <f t="shared" si="1"/>
        <v>0.17</v>
      </c>
      <c r="P11">
        <f t="shared" si="1"/>
        <v>0.17199999999999999</v>
      </c>
      <c r="Q11">
        <f t="shared" si="1"/>
        <v>0.17</v>
      </c>
      <c r="R11">
        <f t="shared" si="1"/>
        <v>0.14899999999999999</v>
      </c>
      <c r="S11">
        <f t="shared" si="1"/>
        <v>0.15</v>
      </c>
      <c r="T11">
        <f t="shared" si="1"/>
        <v>0.151</v>
      </c>
      <c r="U11">
        <f t="shared" si="1"/>
        <v>0.152</v>
      </c>
      <c r="V11">
        <f t="shared" si="1"/>
        <v>0.17299999999999999</v>
      </c>
      <c r="W11">
        <f t="shared" si="1"/>
        <v>0.17199999999999999</v>
      </c>
      <c r="X11">
        <f t="shared" si="1"/>
        <v>0.14899999999999999</v>
      </c>
      <c r="Y11">
        <f t="shared" si="1"/>
        <v>0.152</v>
      </c>
      <c r="Z11">
        <f t="shared" si="1"/>
        <v>0.151</v>
      </c>
      <c r="AA11">
        <f t="shared" si="1"/>
        <v>0</v>
      </c>
      <c r="AB11">
        <f>IF(AB2&lt;0.1,AB2+AB3,AB2)</f>
        <v>0</v>
      </c>
      <c r="AC11">
        <f t="shared" ref="AC11:AL11" si="2">IF(AC2&lt;0.1,AC2+AC3,AC2)</f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2"/>
        <v>0</v>
      </c>
      <c r="AL11">
        <f t="shared" si="2"/>
        <v>0</v>
      </c>
    </row>
    <row r="12" spans="1:38">
      <c r="A12" t="s">
        <v>88</v>
      </c>
      <c r="B12">
        <f>IF(B3&lt;0.5,B4,B3)</f>
        <v>0.81899999999999995</v>
      </c>
      <c r="C12">
        <f t="shared" ref="C12:AA12" si="3">IF(C3&lt;0.5,C4,C3)</f>
        <v>0.81399999999999995</v>
      </c>
      <c r="D12">
        <f t="shared" si="3"/>
        <v>0.81799999999999995</v>
      </c>
      <c r="E12">
        <f t="shared" si="3"/>
        <v>0.81699999999999995</v>
      </c>
      <c r="F12">
        <f t="shared" si="3"/>
        <v>0.81399999999999995</v>
      </c>
      <c r="G12">
        <f t="shared" si="3"/>
        <v>0.81299999999999994</v>
      </c>
      <c r="H12">
        <f t="shared" si="3"/>
        <v>0.81</v>
      </c>
      <c r="I12">
        <f t="shared" si="3"/>
        <v>0.83599999999999997</v>
      </c>
      <c r="J12">
        <f t="shared" si="3"/>
        <v>0.83599999999999997</v>
      </c>
      <c r="K12">
        <f t="shared" si="3"/>
        <v>0.81299999999999994</v>
      </c>
      <c r="L12">
        <f t="shared" si="3"/>
        <v>0.80500000000000005</v>
      </c>
      <c r="M12">
        <f t="shared" si="3"/>
        <v>0.82599999999999996</v>
      </c>
      <c r="N12">
        <f t="shared" si="3"/>
        <v>0.82799999999999996</v>
      </c>
      <c r="O12">
        <f t="shared" si="3"/>
        <v>0.81</v>
      </c>
      <c r="P12">
        <f t="shared" si="3"/>
        <v>0.80900000000000005</v>
      </c>
      <c r="Q12">
        <f t="shared" si="3"/>
        <v>0.80600000000000005</v>
      </c>
      <c r="R12">
        <f t="shared" si="3"/>
        <v>0.83099999999999996</v>
      </c>
      <c r="S12">
        <f t="shared" si="3"/>
        <v>0.83</v>
      </c>
      <c r="T12">
        <f t="shared" si="3"/>
        <v>0.83099999999999996</v>
      </c>
      <c r="U12">
        <f t="shared" si="3"/>
        <v>0.82799999999999996</v>
      </c>
      <c r="V12">
        <f t="shared" si="3"/>
        <v>0.80600000000000005</v>
      </c>
      <c r="W12">
        <f t="shared" si="3"/>
        <v>0.80700000000000005</v>
      </c>
      <c r="X12">
        <f t="shared" si="3"/>
        <v>0.82899999999999996</v>
      </c>
      <c r="Y12">
        <f t="shared" si="3"/>
        <v>0.83</v>
      </c>
      <c r="Z12">
        <f t="shared" si="3"/>
        <v>0.82599999999999996</v>
      </c>
      <c r="AA12">
        <f t="shared" si="3"/>
        <v>0</v>
      </c>
      <c r="AB12">
        <f>IF(AB3&lt;0.5,AB4,AB3)</f>
        <v>0</v>
      </c>
      <c r="AC12">
        <f t="shared" ref="AC12:AL12" si="4">IF(AC3&lt;0.5,AC4,AC3)</f>
        <v>0</v>
      </c>
      <c r="AD12">
        <f t="shared" si="4"/>
        <v>0</v>
      </c>
      <c r="AE12">
        <f t="shared" si="4"/>
        <v>0</v>
      </c>
      <c r="AF12">
        <f t="shared" si="4"/>
        <v>0</v>
      </c>
      <c r="AG12">
        <f t="shared" si="4"/>
        <v>0</v>
      </c>
      <c r="AH12">
        <f t="shared" si="4"/>
        <v>0</v>
      </c>
      <c r="AI12">
        <f t="shared" si="4"/>
        <v>0</v>
      </c>
      <c r="AJ12">
        <f t="shared" si="4"/>
        <v>0</v>
      </c>
      <c r="AK12">
        <f t="shared" si="4"/>
        <v>0</v>
      </c>
      <c r="AL12">
        <f t="shared" si="4"/>
        <v>0</v>
      </c>
    </row>
    <row r="13" spans="1:38">
      <c r="A13" t="s">
        <v>89</v>
      </c>
      <c r="B13">
        <f>IF(B4&gt;0.5,B5+B6+B7,B4+B5+B6+B7)</f>
        <v>1.2999999999999999E-2</v>
      </c>
      <c r="C13">
        <f t="shared" ref="C13:AA13" si="5">IF(C4&gt;0.5,C5+C6+C7,C4+C5+C6+C7)</f>
        <v>1.4E-2</v>
      </c>
      <c r="D13">
        <f t="shared" si="5"/>
        <v>1.4E-2</v>
      </c>
      <c r="E13">
        <f t="shared" si="5"/>
        <v>1.4E-2</v>
      </c>
      <c r="F13">
        <f t="shared" si="5"/>
        <v>1.6E-2</v>
      </c>
      <c r="G13">
        <f t="shared" si="5"/>
        <v>1.6E-2</v>
      </c>
      <c r="H13">
        <f t="shared" si="5"/>
        <v>1.9E-2</v>
      </c>
      <c r="I13">
        <f t="shared" si="5"/>
        <v>1.7000000000000001E-2</v>
      </c>
      <c r="J13">
        <f t="shared" si="5"/>
        <v>1.6E-2</v>
      </c>
      <c r="K13">
        <f t="shared" si="5"/>
        <v>1.7999999999999999E-2</v>
      </c>
      <c r="L13">
        <f t="shared" si="5"/>
        <v>2.1999999999999999E-2</v>
      </c>
      <c r="M13">
        <f t="shared" si="5"/>
        <v>2.3E-2</v>
      </c>
      <c r="N13">
        <f t="shared" si="5"/>
        <v>2.1999999999999999E-2</v>
      </c>
      <c r="O13">
        <f t="shared" si="5"/>
        <v>0.02</v>
      </c>
      <c r="P13">
        <f t="shared" si="5"/>
        <v>0.02</v>
      </c>
      <c r="Q13">
        <f t="shared" si="5"/>
        <v>2.4E-2</v>
      </c>
      <c r="R13">
        <f t="shared" si="5"/>
        <v>0.02</v>
      </c>
      <c r="S13">
        <f t="shared" si="5"/>
        <v>0.02</v>
      </c>
      <c r="T13">
        <f t="shared" si="5"/>
        <v>1.7999999999999999E-2</v>
      </c>
      <c r="U13">
        <f t="shared" si="5"/>
        <v>0.02</v>
      </c>
      <c r="V13">
        <f t="shared" si="5"/>
        <v>2.1000000000000001E-2</v>
      </c>
      <c r="W13">
        <f t="shared" si="5"/>
        <v>2.1999999999999999E-2</v>
      </c>
      <c r="X13">
        <f t="shared" si="5"/>
        <v>2.1999999999999999E-2</v>
      </c>
      <c r="Y13">
        <f t="shared" si="5"/>
        <v>1.9E-2</v>
      </c>
      <c r="Z13">
        <f t="shared" si="5"/>
        <v>2.1999999999999999E-2</v>
      </c>
      <c r="AA13">
        <f t="shared" si="5"/>
        <v>0</v>
      </c>
      <c r="AB13">
        <f>IF(AB4&gt;0.5,AB5+AB6+AB7,AB4+AB5+AB6+AB7)</f>
        <v>0</v>
      </c>
      <c r="AC13">
        <f t="shared" ref="AC13:AL13" si="6">IF(AC4&gt;0.5,AC5+AC6+AC7,AC4+AC5+AC6+AC7)</f>
        <v>0</v>
      </c>
      <c r="AD13">
        <f t="shared" si="6"/>
        <v>0</v>
      </c>
      <c r="AE13">
        <f t="shared" si="6"/>
        <v>0</v>
      </c>
      <c r="AF13">
        <f t="shared" si="6"/>
        <v>0</v>
      </c>
      <c r="AG13">
        <f t="shared" si="6"/>
        <v>0</v>
      </c>
      <c r="AH13">
        <f t="shared" si="6"/>
        <v>0</v>
      </c>
      <c r="AI13">
        <f t="shared" si="6"/>
        <v>0</v>
      </c>
      <c r="AJ13">
        <f t="shared" si="6"/>
        <v>0</v>
      </c>
      <c r="AK13">
        <f t="shared" si="6"/>
        <v>0</v>
      </c>
      <c r="AL13">
        <f t="shared" si="6"/>
        <v>0</v>
      </c>
    </row>
  </sheetData>
  <mergeCells count="1">
    <mergeCell ref="B8:U9"/>
  </mergeCells>
  <phoneticPr fontId="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DEMO</vt:lpstr>
      <vt:lpstr>数据</vt:lpstr>
      <vt:lpstr>合并结果</vt:lpstr>
      <vt:lpstr>分列结果</vt:lpstr>
      <vt:lpstr>显著性提取</vt:lpstr>
      <vt:lpstr>显著性格式整理</vt:lpstr>
      <vt:lpstr>微生物的计算</vt:lpstr>
      <vt:lpstr>质构转化</vt:lpstr>
      <vt:lpstr>色差计算</vt:lpstr>
      <vt:lpstr>低场核磁比例计算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Zhaojing Jiang</cp:lastModifiedBy>
  <dcterms:created xsi:type="dcterms:W3CDTF">2020-02-22T07:29:27Z</dcterms:created>
  <dcterms:modified xsi:type="dcterms:W3CDTF">2024-04-02T02:34:51Z</dcterms:modified>
</cp:coreProperties>
</file>