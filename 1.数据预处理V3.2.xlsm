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8ee0a0080dc455a/A宏文件/VBA学习/Excel/"/>
    </mc:Choice>
  </mc:AlternateContent>
  <xr:revisionPtr revIDLastSave="3986" documentId="11_5AB85339F4AEAACD3509C5D464020D857F149633" xr6:coauthVersionLast="47" xr6:coauthVersionMax="47" xr10:uidLastSave="{E09A2EAB-32B1-4C4E-BF43-C6C7FD259CA8}"/>
  <bookViews>
    <workbookView xWindow="15360" yWindow="0" windowWidth="15360" windowHeight="16680" activeTab="4" xr2:uid="{00000000-000D-0000-FFFF-FFFF00000000}"/>
  </bookViews>
  <sheets>
    <sheet name="DEMO" sheetId="17" r:id="rId1"/>
    <sheet name="数据" sheetId="1" r:id="rId2"/>
    <sheet name="合并结果" sheetId="51" r:id="rId3"/>
    <sheet name="分列结果" sheetId="50" r:id="rId4"/>
    <sheet name="Sheet1" sheetId="54" r:id="rId5"/>
    <sheet name="显著性提取" sheetId="33" r:id="rId6"/>
    <sheet name="显著性格式整理" sheetId="34" r:id="rId7"/>
    <sheet name="微生物的计算" sheetId="30" r:id="rId8"/>
    <sheet name="质构转化" sheetId="39" r:id="rId9"/>
    <sheet name="色差计算" sheetId="52" r:id="rId10"/>
    <sheet name="低场核磁比例计算" sheetId="53" r:id="rId11"/>
  </sheets>
  <functionGroups builtInGroupCount="19"/>
  <definedNames>
    <definedName name="_xlnm._FilterDatabase" localSheetId="4" hidden="1">Sheet1!$A$1:$D$145</definedName>
    <definedName name="_xlnm._FilterDatabase" localSheetId="3" hidden="1">分列结果!$B$20:$K$32</definedName>
    <definedName name="_xlnm._FilterDatabase" localSheetId="6" hidden="1">显著性格式整理!$A$1:$CT$1</definedName>
    <definedName name="_xlnm._FilterDatabase" localSheetId="5" hidden="1">显著性提取!$D$5:$M$15</definedName>
    <definedName name="after101">#REF!</definedName>
    <definedName name="after102">#REF!</definedName>
    <definedName name="after103">#REF!</definedName>
    <definedName name="after104">#REF!</definedName>
    <definedName name="after105">#REF!</definedName>
    <definedName name="after11">#REF!</definedName>
    <definedName name="after111">#REF!</definedName>
    <definedName name="after112">#REF!</definedName>
    <definedName name="after113">#REF!</definedName>
    <definedName name="after114">#REF!</definedName>
    <definedName name="after115">#REF!</definedName>
    <definedName name="after12">#REF!</definedName>
    <definedName name="after121">#REF!</definedName>
    <definedName name="after122">#REF!</definedName>
    <definedName name="after123">#REF!</definedName>
    <definedName name="after124">#REF!</definedName>
    <definedName name="after125">#REF!</definedName>
    <definedName name="after13">#REF!</definedName>
    <definedName name="after14">#REF!</definedName>
    <definedName name="after15">#REF!</definedName>
    <definedName name="after21">#REF!</definedName>
    <definedName name="after22">#REF!</definedName>
    <definedName name="after23">#REF!</definedName>
    <definedName name="after24">#REF!</definedName>
    <definedName name="after25">#REF!</definedName>
    <definedName name="after31">#REF!</definedName>
    <definedName name="after32">#REF!</definedName>
    <definedName name="after33">#REF!</definedName>
    <definedName name="after34">#REF!</definedName>
    <definedName name="after35">#REF!</definedName>
    <definedName name="after36">#REF!</definedName>
    <definedName name="after41">#REF!</definedName>
    <definedName name="after42">#REF!</definedName>
    <definedName name="after43">#REF!</definedName>
    <definedName name="after44">#REF!</definedName>
    <definedName name="after45">#REF!</definedName>
    <definedName name="after51">#REF!</definedName>
    <definedName name="after52">#REF!</definedName>
    <definedName name="after53">#REF!</definedName>
    <definedName name="after54">#REF!</definedName>
    <definedName name="after55">#REF!</definedName>
    <definedName name="after61">#REF!</definedName>
    <definedName name="after62">#REF!</definedName>
    <definedName name="after63">#REF!</definedName>
    <definedName name="after64">#REF!</definedName>
    <definedName name="after65">#REF!</definedName>
    <definedName name="after71">#REF!</definedName>
    <definedName name="after72">#REF!</definedName>
    <definedName name="after73">#REF!</definedName>
    <definedName name="after74">#REF!</definedName>
    <definedName name="after75">#REF!</definedName>
    <definedName name="after81">#REF!</definedName>
    <definedName name="after82">#REF!</definedName>
    <definedName name="after83">#REF!</definedName>
    <definedName name="after84">#REF!</definedName>
    <definedName name="after85">#REF!</definedName>
    <definedName name="after91">#REF!</definedName>
    <definedName name="after92">#REF!</definedName>
    <definedName name="after93">#REF!</definedName>
    <definedName name="after94">#REF!</definedName>
    <definedName name="after95">#REF!</definedName>
    <definedName name="fdg">#REF!</definedName>
    <definedName name="name11">#REF!</definedName>
    <definedName name="name110">#REF!</definedName>
    <definedName name="name111">#REF!</definedName>
    <definedName name="name112">#REF!</definedName>
    <definedName name="name12">#REF!</definedName>
    <definedName name="name13">#REF!</definedName>
    <definedName name="name14">#REF!</definedName>
    <definedName name="name15">#REF!</definedName>
    <definedName name="name16">#REF!</definedName>
    <definedName name="name17">#REF!</definedName>
    <definedName name="name18">#REF!</definedName>
    <definedName name="name19">#REF!</definedName>
    <definedName name="name21">#REF!</definedName>
    <definedName name="name210">#REF!</definedName>
    <definedName name="name211">#REF!</definedName>
    <definedName name="name212">#REF!</definedName>
    <definedName name="name22">#REF!</definedName>
    <definedName name="name23">#REF!</definedName>
    <definedName name="name24">#REF!</definedName>
    <definedName name="name25">#REF!</definedName>
    <definedName name="name26">#REF!</definedName>
    <definedName name="name27">#REF!</definedName>
    <definedName name="name28">#REF!</definedName>
    <definedName name="name29">#REF!</definedName>
    <definedName name="name31">#REF!</definedName>
    <definedName name="name310">#REF!</definedName>
    <definedName name="name311">#REF!</definedName>
    <definedName name="name312">#REF!</definedName>
    <definedName name="name32">#REF!</definedName>
    <definedName name="name33">#REF!</definedName>
    <definedName name="name34">#REF!</definedName>
    <definedName name="name35">#REF!</definedName>
    <definedName name="name36">#REF!</definedName>
    <definedName name="name37">#REF!</definedName>
    <definedName name="name38">#REF!</definedName>
    <definedName name="name39">#REF!</definedName>
    <definedName name="name41">#REF!</definedName>
    <definedName name="name410">#REF!</definedName>
    <definedName name="name411">#REF!</definedName>
    <definedName name="name412">#REF!</definedName>
    <definedName name="name42">#REF!</definedName>
    <definedName name="name43">#REF!</definedName>
    <definedName name="name44">#REF!</definedName>
    <definedName name="name45">#REF!</definedName>
    <definedName name="name46">#REF!</definedName>
    <definedName name="name47">#REF!</definedName>
    <definedName name="name48">#REF!</definedName>
    <definedName name="name49">#REF!</definedName>
    <definedName name="name51">#REF!</definedName>
    <definedName name="name510">#REF!</definedName>
    <definedName name="name511">#REF!</definedName>
    <definedName name="name512">#REF!</definedName>
    <definedName name="name52">#REF!</definedName>
    <definedName name="name53">#REF!</definedName>
    <definedName name="name54">#REF!</definedName>
    <definedName name="name55">#REF!</definedName>
    <definedName name="name56">#REF!</definedName>
    <definedName name="name57">#REF!</definedName>
    <definedName name="name58">#REF!</definedName>
    <definedName name="name59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33" l="1"/>
  <c r="O7" i="33"/>
  <c r="O8" i="33"/>
  <c r="O9" i="33"/>
  <c r="O10" i="33"/>
  <c r="O11" i="33"/>
  <c r="O12" i="33"/>
  <c r="O13" i="33"/>
  <c r="O14" i="33"/>
  <c r="O15" i="33"/>
  <c r="C10" i="53"/>
  <c r="D10" i="53"/>
  <c r="E10" i="53"/>
  <c r="F10" i="53"/>
  <c r="G10" i="53"/>
  <c r="H10" i="53"/>
  <c r="I10" i="53"/>
  <c r="J10" i="53"/>
  <c r="K10" i="53"/>
  <c r="L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Z10" i="53"/>
  <c r="AA10" i="53"/>
  <c r="AB10" i="53"/>
  <c r="AC10" i="53"/>
  <c r="AD10" i="53"/>
  <c r="AE10" i="53"/>
  <c r="AF10" i="53"/>
  <c r="AG10" i="53"/>
  <c r="AH10" i="53"/>
  <c r="AI10" i="53"/>
  <c r="AJ10" i="53"/>
  <c r="AK10" i="53"/>
  <c r="AL10" i="53"/>
  <c r="B10" i="53"/>
  <c r="AL13" i="53"/>
  <c r="AK13" i="53"/>
  <c r="AJ13" i="53"/>
  <c r="AI13" i="53"/>
  <c r="AH13" i="53"/>
  <c r="AG13" i="53"/>
  <c r="AF13" i="53"/>
  <c r="AE13" i="53"/>
  <c r="AD13" i="53"/>
  <c r="AC13" i="53"/>
  <c r="AB13" i="53"/>
  <c r="AA13" i="53"/>
  <c r="Z13" i="53"/>
  <c r="Y13" i="53"/>
  <c r="X13" i="53"/>
  <c r="W13" i="53"/>
  <c r="V13" i="53"/>
  <c r="U13" i="53"/>
  <c r="T13" i="53"/>
  <c r="S13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C13" i="53"/>
  <c r="B13" i="53"/>
  <c r="AL12" i="53"/>
  <c r="AK12" i="53"/>
  <c r="AJ12" i="53"/>
  <c r="AI12" i="53"/>
  <c r="AH12" i="53"/>
  <c r="AG12" i="53"/>
  <c r="AF12" i="53"/>
  <c r="AE12" i="53"/>
  <c r="AD12" i="53"/>
  <c r="AC12" i="53"/>
  <c r="AB12" i="53"/>
  <c r="AA12" i="53"/>
  <c r="Z12" i="53"/>
  <c r="Y12" i="53"/>
  <c r="X12" i="53"/>
  <c r="W12" i="53"/>
  <c r="V12" i="53"/>
  <c r="U12" i="53"/>
  <c r="T12" i="53"/>
  <c r="S12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C12" i="53"/>
  <c r="B12" i="53"/>
  <c r="AL11" i="53"/>
  <c r="AK11" i="53"/>
  <c r="AJ11" i="53"/>
  <c r="AI11" i="53"/>
  <c r="AH11" i="53"/>
  <c r="AG11" i="53"/>
  <c r="AF11" i="53"/>
  <c r="AE11" i="53"/>
  <c r="AD11" i="53"/>
  <c r="AC11" i="53"/>
  <c r="AB11" i="53"/>
  <c r="AA11" i="53"/>
  <c r="Z11" i="53"/>
  <c r="Y11" i="53"/>
  <c r="X11" i="53"/>
  <c r="W11" i="53"/>
  <c r="V11" i="53"/>
  <c r="U11" i="53"/>
  <c r="T11" i="53"/>
  <c r="S11" i="53"/>
  <c r="R11" i="53"/>
  <c r="Q11" i="53"/>
  <c r="P11" i="53"/>
  <c r="O11" i="53"/>
  <c r="N11" i="53"/>
  <c r="M11" i="53"/>
  <c r="L11" i="53"/>
  <c r="K11" i="53"/>
  <c r="J11" i="53"/>
  <c r="I11" i="53"/>
  <c r="H11" i="53"/>
  <c r="G11" i="53"/>
  <c r="F11" i="53"/>
  <c r="E11" i="53"/>
  <c r="D11" i="53"/>
  <c r="C11" i="53"/>
  <c r="B11" i="53"/>
  <c r="L22" i="39" l="1"/>
  <c r="L23" i="39"/>
  <c r="L24" i="39"/>
  <c r="L25" i="39"/>
  <c r="L26" i="39"/>
  <c r="L27" i="39"/>
  <c r="L28" i="39"/>
  <c r="L21" i="39"/>
  <c r="J22" i="39"/>
  <c r="J23" i="39"/>
  <c r="J24" i="39"/>
  <c r="J25" i="39"/>
  <c r="J26" i="39"/>
  <c r="J27" i="39"/>
  <c r="J28" i="39"/>
  <c r="J29" i="39"/>
  <c r="L29" i="39"/>
  <c r="J30" i="39"/>
  <c r="L30" i="39"/>
  <c r="J31" i="39"/>
  <c r="L31" i="39"/>
  <c r="J32" i="39"/>
  <c r="L32" i="39"/>
  <c r="J33" i="39"/>
  <c r="L33" i="39"/>
  <c r="J34" i="39"/>
  <c r="L34" i="39"/>
  <c r="J35" i="39"/>
  <c r="L35" i="39"/>
  <c r="C29" i="39"/>
  <c r="D29" i="39"/>
  <c r="E29" i="39"/>
  <c r="F29" i="39"/>
  <c r="G29" i="39"/>
  <c r="H29" i="39"/>
  <c r="I29" i="39"/>
  <c r="M29" i="39" s="1"/>
  <c r="C30" i="39"/>
  <c r="D30" i="39"/>
  <c r="E30" i="39"/>
  <c r="F30" i="39"/>
  <c r="G30" i="39"/>
  <c r="H30" i="39"/>
  <c r="I30" i="39"/>
  <c r="C31" i="39"/>
  <c r="D31" i="39"/>
  <c r="E31" i="39"/>
  <c r="F31" i="39"/>
  <c r="G31" i="39"/>
  <c r="H31" i="39"/>
  <c r="I31" i="39"/>
  <c r="C32" i="39"/>
  <c r="D32" i="39"/>
  <c r="E32" i="39"/>
  <c r="F32" i="39"/>
  <c r="G32" i="39"/>
  <c r="H32" i="39"/>
  <c r="I32" i="39"/>
  <c r="M32" i="39" s="1"/>
  <c r="C33" i="39"/>
  <c r="D33" i="39"/>
  <c r="E33" i="39"/>
  <c r="F33" i="39"/>
  <c r="G33" i="39"/>
  <c r="H33" i="39"/>
  <c r="I33" i="39"/>
  <c r="C34" i="39"/>
  <c r="D34" i="39"/>
  <c r="E34" i="39"/>
  <c r="F34" i="39"/>
  <c r="G34" i="39"/>
  <c r="H34" i="39"/>
  <c r="I34" i="39"/>
  <c r="M34" i="39" s="1"/>
  <c r="C35" i="39"/>
  <c r="D35" i="39"/>
  <c r="E35" i="39"/>
  <c r="F35" i="39"/>
  <c r="G35" i="39"/>
  <c r="Q35" i="39" s="1"/>
  <c r="H35" i="39"/>
  <c r="I35" i="39"/>
  <c r="M35" i="39" s="1"/>
  <c r="C22" i="39"/>
  <c r="D22" i="39"/>
  <c r="E22" i="39"/>
  <c r="F22" i="39"/>
  <c r="G22" i="39"/>
  <c r="H22" i="39"/>
  <c r="I22" i="39"/>
  <c r="M22" i="39" s="1"/>
  <c r="C23" i="39"/>
  <c r="D23" i="39"/>
  <c r="E23" i="39"/>
  <c r="F23" i="39"/>
  <c r="G23" i="39"/>
  <c r="H23" i="39"/>
  <c r="I23" i="39"/>
  <c r="C24" i="39"/>
  <c r="D24" i="39"/>
  <c r="E24" i="39"/>
  <c r="F24" i="39"/>
  <c r="G24" i="39"/>
  <c r="H24" i="39"/>
  <c r="I24" i="39"/>
  <c r="C25" i="39"/>
  <c r="D25" i="39"/>
  <c r="E25" i="39"/>
  <c r="F25" i="39"/>
  <c r="G25" i="39"/>
  <c r="H25" i="39"/>
  <c r="I25" i="39"/>
  <c r="C26" i="39"/>
  <c r="D26" i="39"/>
  <c r="E26" i="39"/>
  <c r="F26" i="39"/>
  <c r="G26" i="39"/>
  <c r="H26" i="39"/>
  <c r="I26" i="39"/>
  <c r="C27" i="39"/>
  <c r="D27" i="39"/>
  <c r="E27" i="39"/>
  <c r="F27" i="39"/>
  <c r="G27" i="39"/>
  <c r="H27" i="39"/>
  <c r="I27" i="39"/>
  <c r="C28" i="39"/>
  <c r="D28" i="39"/>
  <c r="E28" i="39"/>
  <c r="F28" i="39"/>
  <c r="G28" i="39"/>
  <c r="H28" i="39"/>
  <c r="I28" i="39"/>
  <c r="H21" i="39"/>
  <c r="G21" i="39"/>
  <c r="F21" i="39"/>
  <c r="D21" i="39"/>
  <c r="C21" i="39"/>
  <c r="I21" i="39"/>
  <c r="E21" i="39"/>
  <c r="J21" i="39"/>
  <c r="A4" i="33"/>
  <c r="A3" i="33"/>
  <c r="A5" i="33"/>
  <c r="A10" i="33"/>
  <c r="A12" i="33"/>
  <c r="A6" i="33"/>
  <c r="A7" i="33"/>
  <c r="A8" i="33"/>
  <c r="A11" i="33"/>
  <c r="A9" i="33"/>
  <c r="N33" i="39" l="1"/>
  <c r="N29" i="39"/>
  <c r="O33" i="39"/>
  <c r="Q34" i="39"/>
  <c r="Q28" i="39"/>
  <c r="N34" i="39"/>
  <c r="O34" i="39" s="1"/>
  <c r="P34" i="39" s="1"/>
  <c r="Q33" i="39"/>
  <c r="N35" i="39"/>
  <c r="O35" i="39" s="1"/>
  <c r="P35" i="39" s="1"/>
  <c r="M25" i="39"/>
  <c r="M31" i="39"/>
  <c r="Q30" i="39"/>
  <c r="M24" i="39"/>
  <c r="M30" i="39"/>
  <c r="M33" i="39"/>
  <c r="P33" i="39" s="1"/>
  <c r="N32" i="39"/>
  <c r="Q31" i="39"/>
  <c r="Q32" i="39"/>
  <c r="O29" i="39"/>
  <c r="P29" i="39" s="1"/>
  <c r="M23" i="39"/>
  <c r="N24" i="39"/>
  <c r="O24" i="39" s="1"/>
  <c r="P24" i="39" s="1"/>
  <c r="Q23" i="39"/>
  <c r="N30" i="39"/>
  <c r="O30" i="39" s="1"/>
  <c r="Q29" i="39"/>
  <c r="N25" i="39"/>
  <c r="O25" i="39" s="1"/>
  <c r="N31" i="39"/>
  <c r="Q21" i="39"/>
  <c r="M26" i="39"/>
  <c r="M28" i="39"/>
  <c r="N28" i="39"/>
  <c r="O28" i="39" s="1"/>
  <c r="Q27" i="39"/>
  <c r="M21" i="39"/>
  <c r="M27" i="39"/>
  <c r="Q25" i="39"/>
  <c r="N27" i="39"/>
  <c r="O27" i="39" s="1"/>
  <c r="Q24" i="39"/>
  <c r="N26" i="39"/>
  <c r="O26" i="39" s="1"/>
  <c r="N22" i="39"/>
  <c r="O22" i="39" s="1"/>
  <c r="P22" i="39" s="1"/>
  <c r="Q22" i="39"/>
  <c r="Q26" i="39"/>
  <c r="N23" i="39"/>
  <c r="O23" i="39" s="1"/>
  <c r="O31" i="39"/>
  <c r="O32" i="39"/>
  <c r="P32" i="39" s="1"/>
  <c r="N21" i="39"/>
  <c r="O21" i="39" s="1"/>
  <c r="P21" i="39" s="1"/>
  <c r="P31" i="39" l="1"/>
  <c r="P23" i="39"/>
  <c r="P25" i="39"/>
  <c r="P26" i="39"/>
  <c r="P28" i="39"/>
  <c r="P30" i="39"/>
  <c r="P27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Zhaojing Jiang</author>
  </authors>
  <commentList>
    <comment ref="A1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Zhaojing Jiang:</t>
        </r>
        <r>
          <rPr>
            <sz val="9"/>
            <color indexed="81"/>
            <rFont val="宋体"/>
            <family val="3"/>
            <charset val="134"/>
          </rPr>
          <t xml:space="preserve">
根据质构仪表格，将原始数据转变为N，然后重新计算转变后的数据。并在下列中输出。</t>
        </r>
      </text>
    </comment>
  </commentList>
</comments>
</file>

<file path=xl/sharedStrings.xml><?xml version="1.0" encoding="utf-8"?>
<sst xmlns="http://schemas.openxmlformats.org/spreadsheetml/2006/main" count="753" uniqueCount="220">
  <si>
    <t>g</t>
  </si>
  <si>
    <t>Hardness</t>
  </si>
  <si>
    <t>Fracturability</t>
  </si>
  <si>
    <t>Adhesiveness</t>
  </si>
  <si>
    <t>Cohesiveness</t>
  </si>
  <si>
    <t>Springiness</t>
  </si>
  <si>
    <t>Gumminess</t>
  </si>
  <si>
    <t>Chewiness</t>
  </si>
  <si>
    <t>Resilience</t>
  </si>
  <si>
    <t>粘附性</t>
  </si>
  <si>
    <t>内聚性</t>
  </si>
  <si>
    <t>弹性</t>
  </si>
  <si>
    <t>胶着性（半固体）</t>
  </si>
  <si>
    <t>咀嚼性（固体）</t>
  </si>
  <si>
    <t>回复性</t>
  </si>
  <si>
    <t>转化前1</t>
    <phoneticPr fontId="3" type="noConversion"/>
  </si>
  <si>
    <t>转化前2</t>
    <phoneticPr fontId="3" type="noConversion"/>
  </si>
  <si>
    <t>转化前3</t>
  </si>
  <si>
    <t>转化前4</t>
  </si>
  <si>
    <t>转化前5</t>
  </si>
  <si>
    <t>转化前6</t>
  </si>
  <si>
    <t>转化前7</t>
  </si>
  <si>
    <t>转化前8</t>
  </si>
  <si>
    <t>转化前9</t>
  </si>
  <si>
    <t>转化前10</t>
  </si>
  <si>
    <t>转化前11</t>
  </si>
  <si>
    <t>转化前12</t>
  </si>
  <si>
    <t>转化前13</t>
  </si>
  <si>
    <t>转化前14</t>
  </si>
  <si>
    <t>后1</t>
    <phoneticPr fontId="3" type="noConversion"/>
  </si>
  <si>
    <t>后2</t>
    <phoneticPr fontId="3" type="noConversion"/>
  </si>
  <si>
    <t>后3</t>
  </si>
  <si>
    <t>后4</t>
  </si>
  <si>
    <t>后5</t>
  </si>
  <si>
    <t>后6</t>
  </si>
  <si>
    <t>后7</t>
  </si>
  <si>
    <t>后8</t>
  </si>
  <si>
    <t>后9</t>
  </si>
  <si>
    <t>后10</t>
  </si>
  <si>
    <t>后11</t>
  </si>
  <si>
    <t>后12</t>
  </si>
  <si>
    <t>后13</t>
  </si>
  <si>
    <t>后14</t>
  </si>
  <si>
    <t>后15</t>
  </si>
  <si>
    <t>转化前15</t>
  </si>
  <si>
    <t>Force 1</t>
  </si>
  <si>
    <t>Area-FT 1:2</t>
  </si>
  <si>
    <t>Time-diff. 1:2</t>
  </si>
  <si>
    <t>Area-FT 1:3</t>
  </si>
  <si>
    <t>Area-FT 2:3</t>
  </si>
  <si>
    <t>Area-FT 4:6</t>
  </si>
  <si>
    <t>Time-diff. 4:5</t>
  </si>
  <si>
    <t>g.sec</t>
  </si>
  <si>
    <t>sec</t>
  </si>
  <si>
    <t>Area (Traditional) F-T 1:2</t>
  </si>
  <si>
    <t>Time Difference 1:2</t>
  </si>
  <si>
    <t>Area (Traditional) F-T 1:3</t>
  </si>
  <si>
    <t>Area (Traditional) F-T 2:3</t>
  </si>
  <si>
    <t>Area (Traditional) F-T 4:6</t>
  </si>
  <si>
    <t>Time Difference 4:5</t>
  </si>
  <si>
    <t>Force 2</t>
  </si>
  <si>
    <t>Force 3</t>
  </si>
  <si>
    <t>Variable</t>
  </si>
  <si>
    <t>J#/F#</t>
    <phoneticPr fontId="7" type="noConversion"/>
  </si>
  <si>
    <t>I#/G#</t>
  </si>
  <si>
    <t>K#*O#</t>
  </si>
  <si>
    <t>P#*N#</t>
  </si>
  <si>
    <t>H#/E#</t>
  </si>
  <si>
    <t>N</t>
    <phoneticPr fontId="3" type="noConversion"/>
  </si>
  <si>
    <t>N.sec</t>
    <phoneticPr fontId="3" type="noConversion"/>
  </si>
  <si>
    <t>硬度</t>
    <phoneticPr fontId="3" type="noConversion"/>
  </si>
  <si>
    <t>脆性</t>
    <phoneticPr fontId="3" type="noConversion"/>
  </si>
  <si>
    <t>说明</t>
    <phoneticPr fontId="3" type="noConversion"/>
  </si>
  <si>
    <t>a</t>
    <phoneticPr fontId="3" type="noConversion"/>
  </si>
  <si>
    <t>b</t>
    <phoneticPr fontId="3" type="noConversion"/>
  </si>
  <si>
    <t>ngf</t>
    <phoneticPr fontId="3" type="noConversion"/>
  </si>
  <si>
    <t>fdb</t>
    <phoneticPr fontId="3" type="noConversion"/>
  </si>
  <si>
    <t/>
  </si>
  <si>
    <t>分组</t>
  </si>
  <si>
    <t>A</t>
  </si>
  <si>
    <t>B</t>
  </si>
  <si>
    <t>C</t>
  </si>
  <si>
    <t>均值</t>
  </si>
  <si>
    <t>D</t>
  </si>
  <si>
    <t>E</t>
  </si>
  <si>
    <t>F</t>
  </si>
  <si>
    <t>如果第一列的数据小0.1，则A21的数据为前两行的和，如果大于则就是本身；如果第二列的数据小于0.5，是则S22的数据为第三行，否则为第二行数据；
如果第三个数据大于0.5，则S23为后面所有行相加，否则为4+5</t>
    <phoneticPr fontId="3" type="noConversion"/>
  </si>
  <si>
    <t>A21</t>
    <phoneticPr fontId="3" type="noConversion"/>
  </si>
  <si>
    <t>A22</t>
    <phoneticPr fontId="3" type="noConversion"/>
  </si>
  <si>
    <t>A23</t>
    <phoneticPr fontId="3" type="noConversion"/>
  </si>
  <si>
    <t>提取峰</t>
    <phoneticPr fontId="3" type="noConversion"/>
  </si>
  <si>
    <t>0_min</t>
  </si>
  <si>
    <t>15_min</t>
  </si>
  <si>
    <t>30_min</t>
  </si>
  <si>
    <t>45_min</t>
  </si>
  <si>
    <t>60_min</t>
  </si>
  <si>
    <t>con_0_min</t>
  </si>
  <si>
    <t>con_15_min</t>
  </si>
  <si>
    <t>con_30_min</t>
  </si>
  <si>
    <t>con_45_min</t>
  </si>
  <si>
    <t>con_60_min</t>
  </si>
  <si>
    <t>值</t>
  </si>
  <si>
    <t>BCD</t>
  </si>
  <si>
    <t>CD</t>
  </si>
  <si>
    <t>ABC</t>
  </si>
  <si>
    <t>AB</t>
  </si>
  <si>
    <t>ABCD</t>
  </si>
  <si>
    <t>DE</t>
  </si>
  <si>
    <t>EF</t>
  </si>
  <si>
    <t>CDE</t>
  </si>
  <si>
    <t>BC</t>
  </si>
  <si>
    <t>28.63787</t>
  </si>
  <si>
    <t>21.7751</t>
  </si>
  <si>
    <t>18.53769</t>
  </si>
  <si>
    <t>15.84815</t>
  </si>
  <si>
    <t>14.24226</t>
  </si>
  <si>
    <t>11.53252</t>
  </si>
  <si>
    <t>7.2557</t>
  </si>
  <si>
    <t>4.34555</t>
  </si>
  <si>
    <t>3.4358</t>
  </si>
  <si>
    <t>3.05966</t>
  </si>
  <si>
    <t>DEF</t>
  </si>
  <si>
    <t>FA-1.1</t>
  </si>
  <si>
    <t>FA-2.1</t>
  </si>
  <si>
    <t>FA-3.1</t>
  </si>
  <si>
    <t>FA-4.1</t>
  </si>
  <si>
    <t>FA-5.1</t>
  </si>
  <si>
    <t>FB-1.1</t>
  </si>
  <si>
    <t>FB-2.1</t>
  </si>
  <si>
    <t>FB-3.1</t>
  </si>
  <si>
    <t>FB-4.1</t>
  </si>
  <si>
    <t>FB-5.1</t>
  </si>
  <si>
    <t>FC-1.1</t>
  </si>
  <si>
    <t>FC-2.1</t>
  </si>
  <si>
    <t>FC-3.1</t>
  </si>
  <si>
    <t>FC-4.1</t>
  </si>
  <si>
    <t>FC-5.1</t>
  </si>
  <si>
    <t>FD-1.1</t>
  </si>
  <si>
    <t>FD-2.1</t>
  </si>
  <si>
    <t>FD-3.1</t>
  </si>
  <si>
    <t>FD-4.1</t>
  </si>
  <si>
    <t>FD-5.1</t>
  </si>
  <si>
    <t>FE-1.1</t>
  </si>
  <si>
    <t>FE-2.1</t>
  </si>
  <si>
    <t>FE-3.1</t>
  </si>
  <si>
    <t>FE-4.1</t>
  </si>
  <si>
    <t>FE-5.1</t>
  </si>
  <si>
    <t>LF</t>
  </si>
  <si>
    <t>MF</t>
  </si>
  <si>
    <t>HF</t>
  </si>
  <si>
    <t>FT-0</t>
  </si>
  <si>
    <t>FT-2</t>
  </si>
  <si>
    <t>FT-4</t>
  </si>
  <si>
    <t>FT-6</t>
  </si>
  <si>
    <t>FT-0</t>
    <phoneticPr fontId="3" type="noConversion"/>
  </si>
  <si>
    <t>FT-2</t>
    <phoneticPr fontId="3" type="noConversion"/>
  </si>
  <si>
    <t>FT-4</t>
    <phoneticPr fontId="3" type="noConversion"/>
  </si>
  <si>
    <t>FT-6</t>
    <phoneticPr fontId="3" type="noConversion"/>
  </si>
  <si>
    <t>LF</t>
    <phoneticPr fontId="3" type="noConversion"/>
  </si>
  <si>
    <t>MF</t>
    <phoneticPr fontId="3" type="noConversion"/>
  </si>
  <si>
    <t>HF</t>
    <phoneticPr fontId="3" type="noConversion"/>
  </si>
  <si>
    <t>1.816±0.105</t>
  </si>
  <si>
    <t>2.015±0.034</t>
  </si>
  <si>
    <t>2.129±0.033</t>
  </si>
  <si>
    <t>2.321±0.022</t>
  </si>
  <si>
    <t>2.055±0.022</t>
  </si>
  <si>
    <t>2.257±0.033</t>
  </si>
  <si>
    <t>2.431±0.006</t>
  </si>
  <si>
    <t>2.193±0.016</t>
  </si>
  <si>
    <t>2.637±0.011</t>
  </si>
  <si>
    <t>2.580±0.027</t>
  </si>
  <si>
    <t>2.413±0.028</t>
  </si>
  <si>
    <t>2.712±0.028</t>
  </si>
  <si>
    <t>2.900±0.182</t>
  </si>
  <si>
    <t>1.831±0.099</t>
  </si>
  <si>
    <t>2.026±0.034</t>
  </si>
  <si>
    <t>2.158±0.032</t>
  </si>
  <si>
    <t>2.317±0.018</t>
  </si>
  <si>
    <t>2.072±0.043</t>
  </si>
  <si>
    <t>2.236±0.048</t>
  </si>
  <si>
    <t>2.438±0.006</t>
  </si>
  <si>
    <t>2.225±0.022</t>
  </si>
  <si>
    <t>2.648±0.000</t>
  </si>
  <si>
    <t>2.595±0.021</t>
  </si>
  <si>
    <t>2.403±0.011</t>
  </si>
  <si>
    <t>2.751±0.025</t>
  </si>
  <si>
    <t>3.103±0.091</t>
  </si>
  <si>
    <t>1.987±0.056</t>
  </si>
  <si>
    <t>2.033±0.033</t>
  </si>
  <si>
    <t>2.186±0.022</t>
  </si>
  <si>
    <t>2.364±0.027</t>
  </si>
  <si>
    <t>2.154±0.022</t>
  </si>
  <si>
    <t>2.229±0.016</t>
  </si>
  <si>
    <t>2.460±0.012</t>
  </si>
  <si>
    <t>2.243±0.018</t>
  </si>
  <si>
    <t>2.659±0.018</t>
  </si>
  <si>
    <t>2.602±0.022</t>
  </si>
  <si>
    <t>2.403±0.028</t>
  </si>
  <si>
    <t>2.776±0.011</t>
  </si>
  <si>
    <t>3.064±0.053</t>
  </si>
  <si>
    <t>-10°C</t>
  </si>
  <si>
    <t>0°C</t>
  </si>
  <si>
    <t>10°C</t>
  </si>
  <si>
    <t>25°C</t>
    <phoneticPr fontId="16" type="noConversion"/>
  </si>
  <si>
    <t>LF-0</t>
    <phoneticPr fontId="3" type="noConversion"/>
  </si>
  <si>
    <t>LF-2</t>
    <phoneticPr fontId="3" type="noConversion"/>
  </si>
  <si>
    <t>LF-4</t>
    <phoneticPr fontId="3" type="noConversion"/>
  </si>
  <si>
    <t>LF-6</t>
    <phoneticPr fontId="3" type="noConversion"/>
  </si>
  <si>
    <t>MF-0</t>
    <phoneticPr fontId="3" type="noConversion"/>
  </si>
  <si>
    <t>MF-2</t>
    <phoneticPr fontId="3" type="noConversion"/>
  </si>
  <si>
    <t>MF-4</t>
    <phoneticPr fontId="3" type="noConversion"/>
  </si>
  <si>
    <t>MF-6</t>
    <phoneticPr fontId="3" type="noConversion"/>
  </si>
  <si>
    <t>HF-0</t>
    <phoneticPr fontId="3" type="noConversion"/>
  </si>
  <si>
    <t>HF-2</t>
    <phoneticPr fontId="3" type="noConversion"/>
  </si>
  <si>
    <t>HF-4</t>
    <phoneticPr fontId="3" type="noConversion"/>
  </si>
  <si>
    <t>HF-6</t>
    <phoneticPr fontId="3" type="noConversion"/>
  </si>
  <si>
    <t>温度</t>
    <phoneticPr fontId="3" type="noConversion"/>
  </si>
  <si>
    <t>次数</t>
    <phoneticPr fontId="3" type="noConversion"/>
  </si>
  <si>
    <t>浓度</t>
    <phoneticPr fontId="3" type="noConversion"/>
  </si>
  <si>
    <t>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</si>
</sst>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_ "/>
  </numFmts>
  <fonts count="17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rgb="FFFF0000"/>
      <name val="等线"/>
      <family val="2"/>
      <charset val="134"/>
      <scheme val="minor"/>
    </font>
    <font>
      <b/>
      <sz val="11.25"/>
      <color rgb="FFFF0000"/>
      <name val="-apple-system"/>
      <family val="2"/>
    </font>
    <font>
      <b/>
      <sz val="11"/>
      <color rgb="FFFF0000"/>
      <name val="Microsoft YaHei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Times New Roma"/>
      <family val="1"/>
    </font>
    <font>
      <sz val="11"/>
      <color theme="1"/>
      <name val="Times New Roma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ADDE4"/>
        <bgColor indexed="64"/>
      </patternFill>
    </fill>
    <fill>
      <patternFill patternType="solid">
        <fgColor rgb="FFD6E8A6"/>
        <bgColor indexed="64"/>
      </patternFill>
    </fill>
    <fill>
      <patternFill patternType="solid">
        <fgColor rgb="FFEAABFA"/>
        <bgColor indexed="64"/>
      </patternFill>
    </fill>
    <fill>
      <patternFill patternType="solid">
        <fgColor rgb="FF9C9CE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/>
    <xf numFmtId="0" fontId="5" fillId="0" borderId="0">
      <alignment vertical="center"/>
    </xf>
    <xf numFmtId="0" fontId="1" fillId="0" borderId="0"/>
  </cellStyleXfs>
  <cellXfs count="52">
    <xf numFmtId="0" fontId="0" fillId="0" borderId="0" xfId="0">
      <alignment vertical="center"/>
    </xf>
    <xf numFmtId="0" fontId="4" fillId="0" borderId="0" xfId="1"/>
    <xf numFmtId="49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8" fillId="4" borderId="0" xfId="0" applyFont="1" applyFill="1">
      <alignment vertical="center"/>
    </xf>
    <xf numFmtId="0" fontId="9" fillId="4" borderId="2" xfId="0" applyFont="1" applyFill="1" applyBorder="1" applyAlignment="1">
      <alignment vertical="center" wrapText="1"/>
    </xf>
    <xf numFmtId="0" fontId="10" fillId="4" borderId="0" xfId="0" applyFont="1" applyFill="1">
      <alignment vertical="center"/>
    </xf>
    <xf numFmtId="0" fontId="10" fillId="4" borderId="2" xfId="0" applyFont="1" applyFill="1" applyBorder="1" applyAlignment="1">
      <alignment vertical="center" wrapText="1"/>
    </xf>
    <xf numFmtId="0" fontId="2" fillId="0" borderId="0" xfId="1" applyFont="1"/>
    <xf numFmtId="49" fontId="15" fillId="0" borderId="0" xfId="0" applyNumberFormat="1" applyFont="1">
      <alignment vertical="center"/>
    </xf>
    <xf numFmtId="49" fontId="14" fillId="0" borderId="0" xfId="0" applyNumberFormat="1" applyFont="1">
      <alignment vertical="center"/>
    </xf>
    <xf numFmtId="49" fontId="13" fillId="0" borderId="0" xfId="0" applyNumberFormat="1" applyFont="1">
      <alignment vertical="center"/>
    </xf>
    <xf numFmtId="176" fontId="15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1" applyAlignment="1">
      <alignment vertical="center"/>
    </xf>
    <xf numFmtId="0" fontId="0" fillId="0" borderId="0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4" fillId="0" borderId="3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5" borderId="9" xfId="1" applyFill="1" applyBorder="1" applyAlignment="1">
      <alignment vertical="center"/>
    </xf>
    <xf numFmtId="0" fontId="4" fillId="6" borderId="9" xfId="1" applyFill="1" applyBorder="1" applyAlignment="1">
      <alignment vertical="center"/>
    </xf>
    <xf numFmtId="0" fontId="4" fillId="7" borderId="9" xfId="1" applyFill="1" applyBorder="1" applyAlignment="1">
      <alignment vertical="center"/>
    </xf>
    <xf numFmtId="0" fontId="4" fillId="8" borderId="9" xfId="1" applyFill="1" applyBorder="1" applyAlignment="1">
      <alignment vertical="center"/>
    </xf>
    <xf numFmtId="0" fontId="4" fillId="5" borderId="10" xfId="1" applyFill="1" applyBorder="1" applyAlignment="1">
      <alignment vertical="center"/>
    </xf>
    <xf numFmtId="0" fontId="4" fillId="8" borderId="11" xfId="1" applyFill="1" applyBorder="1" applyAlignment="1">
      <alignment vertical="center"/>
    </xf>
    <xf numFmtId="0" fontId="13" fillId="0" borderId="0" xfId="0" applyFont="1" applyAlignment="1"/>
    <xf numFmtId="0" fontId="15" fillId="0" borderId="0" xfId="0" applyFont="1">
      <alignment vertical="center"/>
    </xf>
    <xf numFmtId="49" fontId="0" fillId="0" borderId="0" xfId="0" applyNumberFormat="1" applyBorder="1">
      <alignment vertical="center"/>
    </xf>
    <xf numFmtId="49" fontId="0" fillId="0" borderId="4" xfId="0" applyNumberFormat="1" applyBorder="1">
      <alignment vertical="center"/>
    </xf>
    <xf numFmtId="49" fontId="0" fillId="0" borderId="5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3" xfId="0" applyNumberFormat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177" fontId="15" fillId="0" borderId="0" xfId="0" applyNumberFormat="1" applyFont="1">
      <alignment vertical="center"/>
    </xf>
    <xf numFmtId="0" fontId="14" fillId="0" borderId="0" xfId="0" applyFont="1">
      <alignment vertical="center"/>
    </xf>
    <xf numFmtId="0" fontId="4" fillId="0" borderId="1" xfId="1" applyBorder="1" applyAlignment="1">
      <alignment vertical="center"/>
    </xf>
  </cellXfs>
  <cellStyles count="4">
    <cellStyle name="常规" xfId="0" builtinId="0"/>
    <cellStyle name="常规 2" xfId="1" xr:uid="{00000000-0005-0000-0000-000001000000}"/>
    <cellStyle name="常规 3" xfId="2" xr:uid="{00000000-0005-0000-0000-000002000000}"/>
    <cellStyle name="常规 4" xfId="3" xr:uid="{E1BEF033-4F0A-4403-9C8A-792AAF272AA6}"/>
  </cellStyles>
  <dxfs count="0"/>
  <tableStyles count="0" defaultTableStyle="TableStyleMedium2" defaultPivotStyle="PivotStyleLight16"/>
  <colors>
    <mruColors>
      <color rgb="FFFF9D5B"/>
      <color rgb="FFFF6600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83820</xdr:colOff>
      <xdr:row>1</xdr:row>
      <xdr:rowOff>182880</xdr:rowOff>
    </xdr:from>
    <xdr:to>
      <xdr:col>16</xdr:col>
      <xdr:colOff>342900</xdr:colOff>
      <xdr:row>11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328660" y="365760"/>
          <a:ext cx="2087880" cy="189738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zh-CN" altLang="en-US" sz="1400"/>
            <a:t>此为数据范围（行列标题必须包括在内），选中后点击自动选择按键，然后进行分析。</a:t>
          </a:r>
        </a:p>
      </xdr:txBody>
    </xdr:sp>
    <xdr:clientData/>
  </xdr:twoCellAnchor>
  <xdr:twoCellAnchor>
    <xdr:from>
      <xdr:col>0</xdr:col>
      <xdr:colOff>30480</xdr:colOff>
      <xdr:row>17</xdr:row>
      <xdr:rowOff>182880</xdr:rowOff>
    </xdr:from>
    <xdr:to>
      <xdr:col>10</xdr:col>
      <xdr:colOff>251460</xdr:colOff>
      <xdr:row>36</xdr:row>
      <xdr:rowOff>7620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0480" y="3566160"/>
          <a:ext cx="6637020" cy="31775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/>
            <a:t>使用说明</a:t>
          </a:r>
          <a:endParaRPr lang="en-US" altLang="zh-CN" sz="1200"/>
        </a:p>
        <a:p>
          <a:pPr algn="l"/>
          <a:r>
            <a:rPr lang="zh-CN" altLang="en-US" sz="1200" baseline="0"/>
            <a:t>   </a:t>
          </a:r>
          <a:br>
            <a:rPr lang="en-US" altLang="zh-CN" sz="1200"/>
          </a:br>
          <a:br>
            <a:rPr lang="en-US" altLang="zh-CN" sz="1200"/>
          </a:br>
          <a:r>
            <a:rPr lang="zh-CN" altLang="en-US" sz="1200"/>
            <a:t>使用数据分析时：</a:t>
          </a:r>
          <a:br>
            <a:rPr lang="en-US" altLang="zh-CN" sz="1200"/>
          </a:br>
          <a:r>
            <a:rPr lang="en-US" altLang="zh-CN" sz="1200"/>
            <a:t>    1. </a:t>
          </a:r>
          <a:r>
            <a:rPr lang="zh-CN" altLang="en-US" sz="1200"/>
            <a:t>请确认数据正确输入，数据内不要输入文字（如有非数据值，会提示错误）。</a:t>
          </a:r>
          <a:br>
            <a:rPr lang="en-US" altLang="zh-CN" sz="1200"/>
          </a:br>
          <a:r>
            <a:rPr lang="en-US" altLang="zh-CN" sz="1200" baseline="0"/>
            <a:t>    </a:t>
          </a:r>
          <a:r>
            <a:rPr lang="en-US" altLang="zh-CN" sz="1200"/>
            <a:t>2. </a:t>
          </a:r>
          <a:r>
            <a:rPr lang="zh-CN" altLang="en-US" sz="1200"/>
            <a:t>如果组内有</a:t>
          </a:r>
          <a:r>
            <a:rPr lang="zh-CN" altLang="en-US" sz="1200">
              <a:solidFill>
                <a:srgbClr val="FF0000"/>
              </a:solidFill>
            </a:rPr>
            <a:t>空值不妨碍计算</a:t>
          </a:r>
          <a:r>
            <a:rPr lang="zh-CN" altLang="en-US" sz="1200"/>
            <a:t>，也不影响正确性。</a:t>
          </a:r>
          <a:r>
            <a:rPr lang="en-US" altLang="zh-CN" sz="1200" baseline="0"/>
            <a:t>    </a:t>
          </a:r>
          <a:r>
            <a:rPr lang="zh-CN" altLang="en-US" sz="1200" baseline="0"/>
            <a:t>如</a:t>
          </a:r>
          <a:r>
            <a:rPr lang="en-US" altLang="zh-CN" sz="1200" baseline="0"/>
            <a:t>B5</a:t>
          </a:r>
          <a:r>
            <a:rPr lang="zh-CN" altLang="en-US" sz="1200" baseline="0"/>
            <a:t>、</a:t>
          </a:r>
          <a:r>
            <a:rPr lang="en-US" altLang="zh-CN" sz="1200" baseline="0"/>
            <a:t>E12</a:t>
          </a:r>
          <a:r>
            <a:rPr lang="zh-CN" altLang="en-US" sz="1200" baseline="0"/>
            <a:t>的缺失。</a:t>
          </a:r>
          <a:endParaRPr lang="en-US" altLang="zh-CN" sz="1200" baseline="0"/>
        </a:p>
        <a:p>
          <a:pPr algn="l"/>
          <a:r>
            <a:rPr lang="en-US" altLang="zh-CN" sz="1200" baseline="0"/>
            <a:t>    3. </a:t>
          </a:r>
          <a:r>
            <a:rPr lang="zh-CN" altLang="en-US" sz="1200" baseline="0"/>
            <a:t>缺失值请保持空白，</a:t>
          </a:r>
          <a:r>
            <a:rPr lang="en-US" altLang="zh-CN" sz="1200" baseline="0"/>
            <a:t>0</a:t>
          </a:r>
          <a:r>
            <a:rPr lang="zh-CN" altLang="en-US" sz="1200" baseline="0"/>
            <a:t>不等于空白，</a:t>
          </a:r>
          <a:r>
            <a:rPr lang="en-US" altLang="zh-CN" sz="1200" baseline="0"/>
            <a:t>0</a:t>
          </a:r>
          <a:r>
            <a:rPr lang="zh-CN" altLang="en-US" sz="1200" baseline="0"/>
            <a:t>将参与正常计算，在复制过程中请注意。</a:t>
          </a:r>
          <a:endParaRPr lang="en-US" altLang="zh-CN" sz="1200" baseline="0"/>
        </a:p>
        <a:p>
          <a:pPr algn="l"/>
          <a:endParaRPr lang="en-US" altLang="zh-CN" sz="1200" baseline="0"/>
        </a:p>
        <a:p>
          <a:pPr algn="l"/>
          <a:r>
            <a:rPr lang="en-US" altLang="zh-CN" sz="1200" baseline="0"/>
            <a:t>V3.2 </a:t>
          </a:r>
        </a:p>
        <a:p>
          <a:pPr algn="l"/>
          <a:r>
            <a:rPr lang="en-US" altLang="zh-CN" sz="1200" baseline="0"/>
            <a:t>   1. </a:t>
          </a:r>
          <a:r>
            <a:rPr lang="zh-CN" altLang="en-US" sz="1200" baseline="0"/>
            <a:t>标准差使用</a:t>
          </a:r>
          <a:r>
            <a:rPr lang="en-US" altLang="zh-CN" sz="1200" baseline="0"/>
            <a:t>Stdev_S </a:t>
          </a:r>
          <a:r>
            <a:rPr lang="zh-CN" altLang="en-US" sz="1200" baseline="0"/>
            <a:t>来获取与</a:t>
          </a:r>
          <a:r>
            <a:rPr lang="en-US" altLang="zh-CN" sz="1200" baseline="0"/>
            <a:t>origin</a:t>
          </a:r>
          <a:r>
            <a:rPr lang="zh-CN" altLang="en-US" sz="1200" baseline="0"/>
            <a:t>一样的标准差。</a:t>
          </a:r>
          <a:br>
            <a:rPr lang="en-US" altLang="zh-CN" sz="1200" baseline="0"/>
          </a:br>
          <a:endParaRPr lang="zh-CN" altLang="en-US" sz="1200"/>
        </a:p>
      </xdr:txBody>
    </xdr:sp>
    <xdr:clientData/>
  </xdr:twoCellAnchor>
  <xdr:twoCellAnchor>
    <xdr:from>
      <xdr:col>11</xdr:col>
      <xdr:colOff>91440</xdr:colOff>
      <xdr:row>20</xdr:row>
      <xdr:rowOff>45720</xdr:rowOff>
    </xdr:from>
    <xdr:to>
      <xdr:col>22</xdr:col>
      <xdr:colOff>7620</xdr:colOff>
      <xdr:row>35</xdr:row>
      <xdr:rowOff>137160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117080" y="3977640"/>
          <a:ext cx="6621780" cy="27203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 baseline="0">
              <a:solidFill>
                <a:srgbClr val="FF0000"/>
              </a:solidFill>
            </a:rPr>
            <a:t>注：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aseline="0">
              <a:solidFill>
                <a:srgbClr val="FF0000"/>
              </a:solidFill>
            </a:rPr>
            <a:t>1</a:t>
          </a:r>
          <a:r>
            <a:rPr lang="zh-CN" altLang="en-US" sz="1200" baseline="0">
              <a:solidFill>
                <a:srgbClr val="FF0000"/>
              </a:solidFill>
            </a:rPr>
            <a:t>、偶见不显示行列标题</a:t>
          </a:r>
          <a:r>
            <a:rPr lang="en-US" altLang="zh-CN" sz="1200" baseline="0">
              <a:solidFill>
                <a:srgbClr val="FF0000"/>
              </a:solidFill>
            </a:rPr>
            <a:t>BUG</a:t>
          </a:r>
          <a:r>
            <a:rPr lang="zh-CN" altLang="en-US" sz="1200" baseline="0">
              <a:solidFill>
                <a:srgbClr val="FF0000"/>
              </a:solidFill>
            </a:rPr>
            <a:t>。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、使用转置功能，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如果只有一列数据则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触发</a:t>
          </a:r>
          <a:r>
            <a:rPr lang="en-US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BUG</a:t>
          </a:r>
          <a:r>
            <a:rPr lang="zh-CN" altLang="en-US" sz="9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（懒得修改）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，可将数据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再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复制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一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行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（列）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，即可解决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CN" sz="11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altLang="zh-CN" sz="16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br>
            <a:rPr lang="en-US" altLang="zh-CN" sz="1200" baseline="0"/>
          </a:br>
          <a:endParaRPr lang="zh-CN" alt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160020</xdr:colOff>
          <xdr:row>4</xdr:row>
          <xdr:rowOff>68580</xdr:rowOff>
        </xdr:from>
        <xdr:to>
          <xdr:col>16</xdr:col>
          <xdr:colOff>251460</xdr:colOff>
          <xdr:row>8</xdr:row>
          <xdr:rowOff>68580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22860</xdr:rowOff>
        </xdr:from>
        <xdr:to>
          <xdr:col>1</xdr:col>
          <xdr:colOff>76200</xdr:colOff>
          <xdr:row>2</xdr:row>
          <xdr:rowOff>129540</xdr:rowOff>
        </xdr:to>
        <xdr:sp macro="" textlink="">
          <xdr:nvSpPr>
            <xdr:cNvPr id="10252" name="ANOVA_marker_clear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4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53340</xdr:colOff>
          <xdr:row>3</xdr:row>
          <xdr:rowOff>152400</xdr:rowOff>
        </xdr:to>
        <xdr:sp macro="" textlink="">
          <xdr:nvSpPr>
            <xdr:cNvPr id="10253" name="ANOVA_marker_copy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4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525780</xdr:colOff>
          <xdr:row>14</xdr:row>
          <xdr:rowOff>15240</xdr:rowOff>
        </xdr:from>
        <xdr:to>
          <xdr:col>11</xdr:col>
          <xdr:colOff>121920</xdr:colOff>
          <xdr:row>16</xdr:row>
          <xdr:rowOff>68580</xdr:rowOff>
        </xdr:to>
        <xdr:sp macro="" textlink="">
          <xdr:nvSpPr>
            <xdr:cNvPr id="12291" name="CommandButton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76200</xdr:rowOff>
    </xdr:from>
    <xdr:to>
      <xdr:col>10</xdr:col>
      <xdr:colOff>215640</xdr:colOff>
      <xdr:row>28</xdr:row>
      <xdr:rowOff>114300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36380" y="2354580"/>
          <a:ext cx="6311640" cy="2667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</xdr:row>
          <xdr:rowOff>60960</xdr:rowOff>
        </xdr:from>
        <xdr:to>
          <xdr:col>0</xdr:col>
          <xdr:colOff>579120</xdr:colOff>
          <xdr:row>2</xdr:row>
          <xdr:rowOff>129540</xdr:rowOff>
        </xdr:to>
        <xdr:sp macro="" textlink="">
          <xdr:nvSpPr>
            <xdr:cNvPr id="25604" name="删除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7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1.xm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5:A40"/>
  <sheetViews>
    <sheetView topLeftCell="A21" workbookViewId="0">
      <selection activeCell="D47" sqref="D47"/>
    </sheetView>
  </sheetViews>
  <sheetFormatPr defaultRowHeight="13.8"/>
  <sheetData>
    <row r="15" ht="16.2" customHeight="1"/>
    <row r="18" ht="15.6" customHeight="1"/>
    <row r="19" ht="13.8" customHeight="1"/>
    <row r="20" ht="13.8" customHeight="1"/>
    <row r="21" ht="13.8" customHeight="1"/>
    <row r="22" ht="13.8" customHeight="1"/>
    <row r="23" ht="13.8" customHeight="1"/>
    <row r="24" ht="13.8" customHeight="1"/>
    <row r="25" ht="13.8" customHeight="1"/>
    <row r="26" ht="13.8" customHeight="1"/>
    <row r="27" ht="13.8" customHeight="1"/>
    <row r="28" ht="13.8" customHeight="1"/>
    <row r="29" ht="13.8" customHeight="1"/>
    <row r="30" ht="13.8" customHeight="1"/>
    <row r="31" ht="13.8" customHeight="1"/>
    <row r="32" ht="13.8" customHeight="1"/>
    <row r="33" ht="13.8" customHeight="1"/>
    <row r="34" ht="13.8" customHeight="1"/>
    <row r="35" ht="13.8" customHeight="1"/>
    <row r="36" ht="13.8" customHeight="1"/>
    <row r="37" ht="13.8" customHeight="1"/>
    <row r="38" ht="13.8" customHeight="1"/>
    <row r="39" ht="13.8" customHeight="1"/>
    <row r="40" ht="13.8" customHeight="1"/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82"/>
  <sheetViews>
    <sheetView zoomScale="85" zoomScaleNormal="85" workbookViewId="0">
      <selection activeCell="E66" sqref="E66"/>
    </sheetView>
  </sheetViews>
  <sheetFormatPr defaultRowHeight="13.8"/>
  <cols>
    <col min="2" max="13" width="11" customWidth="1"/>
  </cols>
  <sheetData>
    <row r="1" spans="1:17" s="2" customFormat="1" ht="14.4" thickBot="1">
      <c r="A1" s="16"/>
      <c r="B1" s="43" t="s">
        <v>154</v>
      </c>
      <c r="C1" s="44" t="s">
        <v>155</v>
      </c>
      <c r="D1" s="44" t="s">
        <v>156</v>
      </c>
      <c r="E1" s="44" t="s">
        <v>157</v>
      </c>
      <c r="F1" s="44" t="s">
        <v>154</v>
      </c>
      <c r="G1" s="44" t="s">
        <v>155</v>
      </c>
      <c r="H1" s="44" t="s">
        <v>156</v>
      </c>
      <c r="I1" s="44" t="s">
        <v>157</v>
      </c>
      <c r="J1" s="44" t="s">
        <v>154</v>
      </c>
      <c r="K1" s="44" t="s">
        <v>155</v>
      </c>
      <c r="L1" s="44" t="s">
        <v>156</v>
      </c>
      <c r="M1" s="44" t="s">
        <v>157</v>
      </c>
      <c r="N1" s="44" t="s">
        <v>154</v>
      </c>
      <c r="O1" s="44" t="s">
        <v>155</v>
      </c>
      <c r="P1" s="44" t="s">
        <v>156</v>
      </c>
      <c r="Q1" s="45" t="s">
        <v>157</v>
      </c>
    </row>
    <row r="2" spans="1:17" s="2" customFormat="1">
      <c r="A2" s="47" t="s">
        <v>158</v>
      </c>
      <c r="B2" s="39">
        <v>1.9017270000000002</v>
      </c>
      <c r="C2" s="39">
        <v>1.9763400000000002</v>
      </c>
      <c r="D2" s="39">
        <v>2.157543</v>
      </c>
      <c r="E2" s="39">
        <v>2.3387459999999995</v>
      </c>
      <c r="F2" s="39">
        <v>1.9017270000000002</v>
      </c>
      <c r="G2" s="39">
        <v>2.0296349999999999</v>
      </c>
      <c r="H2" s="39">
        <v>2.2214970000000003</v>
      </c>
      <c r="I2" s="39">
        <v>2.4346769999999998</v>
      </c>
      <c r="J2" s="39">
        <v>1.9017270000000002</v>
      </c>
      <c r="K2" s="39">
        <v>2.1895200000000004</v>
      </c>
      <c r="L2" s="39">
        <v>2.6371979999999997</v>
      </c>
      <c r="M2" s="39">
        <v>2.5519259999999999</v>
      </c>
      <c r="N2" s="39">
        <v>1.9017270000000002</v>
      </c>
      <c r="O2" s="39">
        <v>2.3813819999999994</v>
      </c>
      <c r="P2" s="39">
        <v>2.701152</v>
      </c>
      <c r="Q2" s="41">
        <v>2.6904930000000005</v>
      </c>
    </row>
    <row r="3" spans="1:17" s="2" customFormat="1">
      <c r="A3" s="46"/>
      <c r="B3" s="39">
        <v>1.6992059999999998</v>
      </c>
      <c r="C3" s="39">
        <v>2.0402940000000003</v>
      </c>
      <c r="D3" s="39">
        <v>2.0935890000000001</v>
      </c>
      <c r="E3" s="39">
        <v>2.3280869999999996</v>
      </c>
      <c r="F3" s="39">
        <v>1.6992059999999998</v>
      </c>
      <c r="G3" s="39">
        <v>2.0616120000000002</v>
      </c>
      <c r="H3" s="39">
        <v>2.2854510000000006</v>
      </c>
      <c r="I3" s="39">
        <v>2.4240179999999998</v>
      </c>
      <c r="J3" s="39">
        <v>1.6992059999999998</v>
      </c>
      <c r="K3" s="39">
        <v>2.1788609999999999</v>
      </c>
      <c r="L3" s="39">
        <v>2.6265389999999997</v>
      </c>
      <c r="M3" s="39">
        <v>2.5839029999999998</v>
      </c>
      <c r="N3" s="39">
        <v>1.6992059999999998</v>
      </c>
      <c r="O3" s="39">
        <v>2.4346769999999998</v>
      </c>
      <c r="P3" s="39">
        <v>2.6904930000000005</v>
      </c>
      <c r="Q3" s="41">
        <v>3.0209219999999997</v>
      </c>
    </row>
    <row r="4" spans="1:17" s="2" customFormat="1">
      <c r="A4" s="46"/>
      <c r="B4" s="39">
        <v>1.8484319999999999</v>
      </c>
      <c r="C4" s="39">
        <v>2.0296349999999999</v>
      </c>
      <c r="D4" s="39">
        <v>2.1362250000000005</v>
      </c>
      <c r="E4" s="39">
        <v>2.2961100000000005</v>
      </c>
      <c r="F4" s="39">
        <v>1.8484319999999999</v>
      </c>
      <c r="G4" s="39">
        <v>2.0722709999999998</v>
      </c>
      <c r="H4" s="39">
        <v>2.2641330000000002</v>
      </c>
      <c r="I4" s="39">
        <v>2.4346769999999998</v>
      </c>
      <c r="J4" s="39">
        <v>1.8484319999999999</v>
      </c>
      <c r="K4" s="39">
        <v>2.2108380000000003</v>
      </c>
      <c r="L4" s="39">
        <v>2.6478570000000001</v>
      </c>
      <c r="M4" s="39">
        <v>2.6052210000000002</v>
      </c>
      <c r="N4" s="39">
        <v>1.8484319999999999</v>
      </c>
      <c r="O4" s="39">
        <v>2.4240179999999998</v>
      </c>
      <c r="P4" s="39">
        <v>2.7437880000000003</v>
      </c>
      <c r="Q4" s="41">
        <v>2.9889450000000006</v>
      </c>
    </row>
    <row r="5" spans="1:17" s="2" customFormat="1">
      <c r="A5" s="46" t="s">
        <v>159</v>
      </c>
      <c r="B5" s="39">
        <v>1.9123859999999997</v>
      </c>
      <c r="C5" s="39">
        <v>1.9869990000000004</v>
      </c>
      <c r="D5" s="39">
        <v>2.157543</v>
      </c>
      <c r="E5" s="39">
        <v>2.3387459999999995</v>
      </c>
      <c r="F5" s="39">
        <v>1.9123859999999997</v>
      </c>
      <c r="G5" s="39">
        <v>2.0296349999999999</v>
      </c>
      <c r="H5" s="39">
        <v>2.2321559999999998</v>
      </c>
      <c r="I5" s="39">
        <v>2.4346769999999998</v>
      </c>
      <c r="J5" s="39">
        <v>1.9123859999999997</v>
      </c>
      <c r="K5" s="39">
        <v>2.2001790000000003</v>
      </c>
      <c r="L5" s="39">
        <v>2.6478570000000001</v>
      </c>
      <c r="M5" s="39">
        <v>2.5732439999999999</v>
      </c>
      <c r="N5" s="39">
        <v>1.9123859999999997</v>
      </c>
      <c r="O5" s="39">
        <v>2.3920409999999994</v>
      </c>
      <c r="P5" s="39">
        <v>2.7651060000000003</v>
      </c>
      <c r="Q5" s="41">
        <v>3.1701479999999997</v>
      </c>
    </row>
    <row r="6" spans="1:17" s="2" customFormat="1">
      <c r="A6" s="46"/>
      <c r="B6" s="39">
        <v>1.7205239999999999</v>
      </c>
      <c r="C6" s="39">
        <v>2.0509530000000002</v>
      </c>
      <c r="D6" s="39">
        <v>2.1255660000000001</v>
      </c>
      <c r="E6" s="39">
        <v>2.3067690000000001</v>
      </c>
      <c r="F6" s="39">
        <v>1.7205239999999999</v>
      </c>
      <c r="G6" s="39">
        <v>2.0722709999999998</v>
      </c>
      <c r="H6" s="39">
        <v>2.1895200000000004</v>
      </c>
      <c r="I6" s="39">
        <v>2.4346769999999998</v>
      </c>
      <c r="J6" s="39">
        <v>1.7205239999999999</v>
      </c>
      <c r="K6" s="39">
        <v>2.2428150000000002</v>
      </c>
      <c r="L6" s="39">
        <v>2.6478570000000001</v>
      </c>
      <c r="M6" s="39">
        <v>2.5945620000000003</v>
      </c>
      <c r="N6" s="39">
        <v>1.7205239999999999</v>
      </c>
      <c r="O6" s="39">
        <v>2.4026999999999998</v>
      </c>
      <c r="P6" s="39">
        <v>2.7224699999999999</v>
      </c>
      <c r="Q6" s="41">
        <v>2.9996040000000002</v>
      </c>
    </row>
    <row r="7" spans="1:17" s="2" customFormat="1">
      <c r="A7" s="46"/>
      <c r="B7" s="39">
        <v>1.8590909999999998</v>
      </c>
      <c r="C7" s="39">
        <v>2.0402940000000003</v>
      </c>
      <c r="D7" s="39">
        <v>2.1895200000000004</v>
      </c>
      <c r="E7" s="39">
        <v>2.3067690000000001</v>
      </c>
      <c r="F7" s="39">
        <v>1.8590909999999998</v>
      </c>
      <c r="G7" s="39">
        <v>2.1149070000000001</v>
      </c>
      <c r="H7" s="39">
        <v>2.2854510000000006</v>
      </c>
      <c r="I7" s="39">
        <v>2.4453360000000002</v>
      </c>
      <c r="J7" s="39">
        <v>1.8590909999999998</v>
      </c>
      <c r="K7" s="39">
        <v>2.2321559999999998</v>
      </c>
      <c r="L7" s="39">
        <v>2.6478570000000001</v>
      </c>
      <c r="M7" s="39">
        <v>2.6158799999999998</v>
      </c>
      <c r="N7" s="39">
        <v>1.8590909999999998</v>
      </c>
      <c r="O7" s="39">
        <v>2.4133589999999998</v>
      </c>
      <c r="P7" s="39">
        <v>2.7651060000000003</v>
      </c>
      <c r="Q7" s="41">
        <v>3.1381709999999998</v>
      </c>
    </row>
    <row r="8" spans="1:17" s="2" customFormat="1">
      <c r="A8" s="46" t="s">
        <v>160</v>
      </c>
      <c r="B8" s="39">
        <v>1.9230449999999999</v>
      </c>
      <c r="C8" s="39">
        <v>1.9976579999999999</v>
      </c>
      <c r="D8" s="39">
        <v>2.1788609999999999</v>
      </c>
      <c r="E8" s="39">
        <v>2.3600639999999999</v>
      </c>
      <c r="F8" s="39">
        <v>1.9230449999999999</v>
      </c>
      <c r="G8" s="39">
        <v>2.146884</v>
      </c>
      <c r="H8" s="39">
        <v>2.2321559999999998</v>
      </c>
      <c r="I8" s="39">
        <v>2.4666539999999997</v>
      </c>
      <c r="J8" s="39">
        <v>1.9230449999999999</v>
      </c>
      <c r="K8" s="39">
        <v>2.2214970000000003</v>
      </c>
      <c r="L8" s="39">
        <v>2.6478570000000001</v>
      </c>
      <c r="M8" s="39">
        <v>2.5839029999999998</v>
      </c>
      <c r="N8" s="39">
        <v>1.9230449999999999</v>
      </c>
      <c r="O8" s="39">
        <v>2.3920409999999994</v>
      </c>
      <c r="P8" s="39">
        <v>2.7757649999999998</v>
      </c>
      <c r="Q8" s="41">
        <v>3.0102629999999997</v>
      </c>
    </row>
    <row r="9" spans="1:17" s="2" customFormat="1">
      <c r="A9" s="46"/>
      <c r="B9" s="39">
        <v>2.0296349999999999</v>
      </c>
      <c r="C9" s="39">
        <v>2.0402940000000003</v>
      </c>
      <c r="D9" s="39">
        <v>2.168202</v>
      </c>
      <c r="E9" s="39">
        <v>2.3920409999999994</v>
      </c>
      <c r="F9" s="39">
        <v>2.0296349999999999</v>
      </c>
      <c r="G9" s="39">
        <v>2.1788609999999999</v>
      </c>
      <c r="H9" s="39">
        <v>2.2108380000000003</v>
      </c>
      <c r="I9" s="39">
        <v>2.4453360000000002</v>
      </c>
      <c r="J9" s="39">
        <v>2.0296349999999999</v>
      </c>
      <c r="K9" s="39">
        <v>2.2534740000000002</v>
      </c>
      <c r="L9" s="39">
        <v>2.6478570000000001</v>
      </c>
      <c r="M9" s="39">
        <v>2.5945620000000003</v>
      </c>
      <c r="N9" s="39">
        <v>2.0296349999999999</v>
      </c>
      <c r="O9" s="39">
        <v>2.4346769999999998</v>
      </c>
      <c r="P9" s="39">
        <v>2.7651060000000003</v>
      </c>
      <c r="Q9" s="41">
        <v>3.1168529999999999</v>
      </c>
    </row>
    <row r="10" spans="1:17" s="2" customFormat="1" ht="14.4" thickBot="1">
      <c r="A10" s="48"/>
      <c r="B10" s="40">
        <v>2.0083169999999999</v>
      </c>
      <c r="C10" s="40">
        <v>2.0616120000000002</v>
      </c>
      <c r="D10" s="40">
        <v>2.2108380000000003</v>
      </c>
      <c r="E10" s="40">
        <v>2.3387459999999995</v>
      </c>
      <c r="F10" s="40">
        <v>2.0083169999999999</v>
      </c>
      <c r="G10" s="40">
        <v>2.1362250000000005</v>
      </c>
      <c r="H10" s="40">
        <v>2.2428150000000002</v>
      </c>
      <c r="I10" s="40">
        <v>2.4666539999999997</v>
      </c>
      <c r="J10" s="40">
        <v>2.0083169999999999</v>
      </c>
      <c r="K10" s="40">
        <v>2.2534739999999998</v>
      </c>
      <c r="L10" s="40">
        <v>2.679834</v>
      </c>
      <c r="M10" s="40">
        <v>2.6265389999999997</v>
      </c>
      <c r="N10" s="40">
        <v>2.0083169999999999</v>
      </c>
      <c r="O10" s="40">
        <v>2.3813819999999994</v>
      </c>
      <c r="P10" s="40">
        <v>2.7864239999999998</v>
      </c>
      <c r="Q10" s="42">
        <v>3.063558</v>
      </c>
    </row>
    <row r="11" spans="1:17" s="2" customFormat="1"/>
    <row r="12" spans="1:17" s="2" customFormat="1"/>
    <row r="13" spans="1:17" s="2" customFormat="1"/>
    <row r="14" spans="1:17" s="2" customFormat="1"/>
    <row r="15" spans="1:17" s="2" customFormat="1"/>
    <row r="16" spans="1:17" s="2" customFormat="1" ht="14.4" thickBot="1"/>
    <row r="17" spans="14:17" s="2" customFormat="1" ht="14.4" thickBot="1">
      <c r="N17" s="37"/>
      <c r="O17" s="28" t="s">
        <v>147</v>
      </c>
      <c r="P17" s="29" t="s">
        <v>148</v>
      </c>
      <c r="Q17" s="30" t="s">
        <v>149</v>
      </c>
    </row>
    <row r="18" spans="14:17" s="2" customFormat="1">
      <c r="N18" s="35" t="s">
        <v>150</v>
      </c>
      <c r="O18" s="24">
        <v>1.9017270000000002</v>
      </c>
      <c r="P18" s="24">
        <v>1.9123859999999997</v>
      </c>
      <c r="Q18" s="26">
        <v>1.9230449999999999</v>
      </c>
    </row>
    <row r="19" spans="14:17" s="2" customFormat="1">
      <c r="N19" s="31" t="s">
        <v>150</v>
      </c>
      <c r="O19" s="24">
        <v>1.6992059999999998</v>
      </c>
      <c r="P19" s="24">
        <v>1.7205239999999999</v>
      </c>
      <c r="Q19" s="26">
        <v>2.0296349999999999</v>
      </c>
    </row>
    <row r="20" spans="14:17" s="2" customFormat="1">
      <c r="N20" s="31" t="s">
        <v>150</v>
      </c>
      <c r="O20" s="24">
        <v>1.8484319999999999</v>
      </c>
      <c r="P20" s="24">
        <v>1.8590909999999998</v>
      </c>
      <c r="Q20" s="26">
        <v>2.0083169999999999</v>
      </c>
    </row>
    <row r="21" spans="14:17" s="2" customFormat="1">
      <c r="N21" s="32" t="s">
        <v>151</v>
      </c>
      <c r="O21" s="24">
        <v>1.9763400000000002</v>
      </c>
      <c r="P21" s="24">
        <v>1.9869990000000004</v>
      </c>
      <c r="Q21" s="26">
        <v>1.9976579999999999</v>
      </c>
    </row>
    <row r="22" spans="14:17" s="2" customFormat="1">
      <c r="N22" s="32" t="s">
        <v>151</v>
      </c>
      <c r="O22" s="24">
        <v>2.0402940000000003</v>
      </c>
      <c r="P22" s="24">
        <v>2.0509530000000002</v>
      </c>
      <c r="Q22" s="26">
        <v>2.0402940000000003</v>
      </c>
    </row>
    <row r="23" spans="14:17" s="2" customFormat="1">
      <c r="N23" s="32" t="s">
        <v>151</v>
      </c>
      <c r="O23" s="24">
        <v>2.0296349999999999</v>
      </c>
      <c r="P23" s="24">
        <v>2.0402940000000003</v>
      </c>
      <c r="Q23" s="26">
        <v>2.0616120000000002</v>
      </c>
    </row>
    <row r="24" spans="14:17" s="2" customFormat="1">
      <c r="N24" s="33" t="s">
        <v>152</v>
      </c>
      <c r="O24" s="24">
        <v>2.157543</v>
      </c>
      <c r="P24" s="24">
        <v>2.157543</v>
      </c>
      <c r="Q24" s="26">
        <v>2.1788609999999999</v>
      </c>
    </row>
    <row r="25" spans="14:17" s="2" customFormat="1">
      <c r="N25" s="33" t="s">
        <v>152</v>
      </c>
      <c r="O25" s="24">
        <v>2.0935890000000001</v>
      </c>
      <c r="P25" s="24">
        <v>2.1255660000000001</v>
      </c>
      <c r="Q25" s="26">
        <v>2.168202</v>
      </c>
    </row>
    <row r="26" spans="14:17" s="2" customFormat="1">
      <c r="N26" s="33" t="s">
        <v>152</v>
      </c>
      <c r="O26" s="24">
        <v>2.1362250000000005</v>
      </c>
      <c r="P26" s="24">
        <v>2.1895200000000004</v>
      </c>
      <c r="Q26" s="26">
        <v>2.2108380000000003</v>
      </c>
    </row>
    <row r="27" spans="14:17" s="2" customFormat="1">
      <c r="N27" s="34" t="s">
        <v>153</v>
      </c>
      <c r="O27" s="24">
        <v>2.3387459999999995</v>
      </c>
      <c r="P27" s="24">
        <v>2.3387459999999995</v>
      </c>
      <c r="Q27" s="26">
        <v>2.3600639999999999</v>
      </c>
    </row>
    <row r="28" spans="14:17" s="2" customFormat="1">
      <c r="N28" s="34" t="s">
        <v>153</v>
      </c>
      <c r="O28" s="24">
        <v>2.3280869999999996</v>
      </c>
      <c r="P28" s="24">
        <v>2.3067690000000001</v>
      </c>
      <c r="Q28" s="26">
        <v>2.3920409999999994</v>
      </c>
    </row>
    <row r="29" spans="14:17" s="2" customFormat="1">
      <c r="N29" s="34" t="s">
        <v>153</v>
      </c>
      <c r="O29" s="24">
        <v>2.2961100000000005</v>
      </c>
      <c r="P29" s="24">
        <v>2.3067690000000001</v>
      </c>
      <c r="Q29" s="26">
        <v>2.3387459999999995</v>
      </c>
    </row>
    <row r="30" spans="14:17" s="2" customFormat="1">
      <c r="N30" s="31" t="s">
        <v>150</v>
      </c>
      <c r="O30" s="24">
        <v>1.9017270000000002</v>
      </c>
      <c r="P30" s="24">
        <v>1.9123859999999997</v>
      </c>
      <c r="Q30" s="26">
        <v>1.9230449999999999</v>
      </c>
    </row>
    <row r="31" spans="14:17">
      <c r="N31" s="31" t="s">
        <v>150</v>
      </c>
      <c r="O31" s="24">
        <v>1.6992059999999998</v>
      </c>
      <c r="P31" s="24">
        <v>1.7205239999999999</v>
      </c>
      <c r="Q31" s="26">
        <v>2.0296349999999999</v>
      </c>
    </row>
    <row r="32" spans="14:17">
      <c r="N32" s="31" t="s">
        <v>150</v>
      </c>
      <c r="O32" s="24">
        <v>1.8484319999999999</v>
      </c>
      <c r="P32" s="24">
        <v>1.8590909999999998</v>
      </c>
      <c r="Q32" s="26">
        <v>2.0083169999999999</v>
      </c>
    </row>
    <row r="33" spans="14:17">
      <c r="N33" s="32" t="s">
        <v>151</v>
      </c>
      <c r="O33" s="24">
        <v>2.0296349999999999</v>
      </c>
      <c r="P33" s="24">
        <v>2.0296349999999999</v>
      </c>
      <c r="Q33" s="26">
        <v>2.146884</v>
      </c>
    </row>
    <row r="34" spans="14:17">
      <c r="N34" s="32" t="s">
        <v>151</v>
      </c>
      <c r="O34" s="24">
        <v>2.0616120000000002</v>
      </c>
      <c r="P34" s="24">
        <v>2.0722709999999998</v>
      </c>
      <c r="Q34" s="26">
        <v>2.1788609999999999</v>
      </c>
    </row>
    <row r="35" spans="14:17">
      <c r="N35" s="32" t="s">
        <v>151</v>
      </c>
      <c r="O35" s="24">
        <v>2.0722709999999998</v>
      </c>
      <c r="P35" s="24">
        <v>2.1149070000000001</v>
      </c>
      <c r="Q35" s="26">
        <v>2.1362250000000005</v>
      </c>
    </row>
    <row r="36" spans="14:17">
      <c r="N36" s="33" t="s">
        <v>152</v>
      </c>
      <c r="O36" s="24">
        <v>2.2214970000000003</v>
      </c>
      <c r="P36" s="24">
        <v>2.2321559999999998</v>
      </c>
      <c r="Q36" s="26">
        <v>2.2321559999999998</v>
      </c>
    </row>
    <row r="37" spans="14:17">
      <c r="N37" s="33" t="s">
        <v>152</v>
      </c>
      <c r="O37" s="24">
        <v>2.2854510000000006</v>
      </c>
      <c r="P37" s="24">
        <v>2.1895200000000004</v>
      </c>
      <c r="Q37" s="26">
        <v>2.2108380000000003</v>
      </c>
    </row>
    <row r="38" spans="14:17">
      <c r="N38" s="33" t="s">
        <v>152</v>
      </c>
      <c r="O38" s="24">
        <v>2.2641330000000002</v>
      </c>
      <c r="P38" s="24">
        <v>2.2854510000000006</v>
      </c>
      <c r="Q38" s="26">
        <v>2.2428150000000002</v>
      </c>
    </row>
    <row r="39" spans="14:17">
      <c r="N39" s="34" t="s">
        <v>153</v>
      </c>
      <c r="O39" s="24">
        <v>2.4346769999999998</v>
      </c>
      <c r="P39" s="24">
        <v>2.4346769999999998</v>
      </c>
      <c r="Q39" s="26">
        <v>2.4666539999999997</v>
      </c>
    </row>
    <row r="40" spans="14:17">
      <c r="N40" s="34" t="s">
        <v>153</v>
      </c>
      <c r="O40" s="24">
        <v>2.4240179999999998</v>
      </c>
      <c r="P40" s="24">
        <v>2.4346769999999998</v>
      </c>
      <c r="Q40" s="26">
        <v>2.4453360000000002</v>
      </c>
    </row>
    <row r="41" spans="14:17">
      <c r="N41" s="34" t="s">
        <v>153</v>
      </c>
      <c r="O41" s="24">
        <v>2.4346769999999998</v>
      </c>
      <c r="P41" s="24">
        <v>2.4453360000000002</v>
      </c>
      <c r="Q41" s="26">
        <v>2.4666539999999997</v>
      </c>
    </row>
    <row r="42" spans="14:17">
      <c r="N42" s="31" t="s">
        <v>150</v>
      </c>
      <c r="O42" s="24">
        <v>1.9017270000000002</v>
      </c>
      <c r="P42" s="24">
        <v>1.9123859999999997</v>
      </c>
      <c r="Q42" s="26">
        <v>1.9230449999999999</v>
      </c>
    </row>
    <row r="43" spans="14:17">
      <c r="N43" s="31" t="s">
        <v>150</v>
      </c>
      <c r="O43" s="24">
        <v>1.6992059999999998</v>
      </c>
      <c r="P43" s="24">
        <v>1.7205239999999999</v>
      </c>
      <c r="Q43" s="26">
        <v>2.0296349999999999</v>
      </c>
    </row>
    <row r="44" spans="14:17">
      <c r="N44" s="31" t="s">
        <v>150</v>
      </c>
      <c r="O44" s="24">
        <v>1.8484319999999999</v>
      </c>
      <c r="P44" s="24">
        <v>1.8590909999999998</v>
      </c>
      <c r="Q44" s="26">
        <v>2.0083169999999999</v>
      </c>
    </row>
    <row r="45" spans="14:17">
      <c r="N45" s="32" t="s">
        <v>151</v>
      </c>
      <c r="O45" s="24">
        <v>2.1895200000000004</v>
      </c>
      <c r="P45" s="24">
        <v>2.2001790000000003</v>
      </c>
      <c r="Q45" s="26">
        <v>2.2214970000000003</v>
      </c>
    </row>
    <row r="46" spans="14:17">
      <c r="N46" s="32" t="s">
        <v>151</v>
      </c>
      <c r="O46" s="24">
        <v>2.1788609999999999</v>
      </c>
      <c r="P46" s="24">
        <v>2.2428150000000002</v>
      </c>
      <c r="Q46" s="26">
        <v>2.2534740000000002</v>
      </c>
    </row>
    <row r="47" spans="14:17">
      <c r="N47" s="32" t="s">
        <v>151</v>
      </c>
      <c r="O47" s="24">
        <v>2.2108380000000003</v>
      </c>
      <c r="P47" s="24">
        <v>2.2321559999999998</v>
      </c>
      <c r="Q47" s="26">
        <v>2.2534739999999998</v>
      </c>
    </row>
    <row r="48" spans="14:17">
      <c r="N48" s="33" t="s">
        <v>152</v>
      </c>
      <c r="O48" s="24">
        <v>2.6371979999999997</v>
      </c>
      <c r="P48" s="24">
        <v>2.6478570000000001</v>
      </c>
      <c r="Q48" s="26">
        <v>2.6478570000000001</v>
      </c>
    </row>
    <row r="49" spans="14:17">
      <c r="N49" s="33" t="s">
        <v>152</v>
      </c>
      <c r="O49" s="24">
        <v>2.6265389999999997</v>
      </c>
      <c r="P49" s="24">
        <v>2.6478570000000001</v>
      </c>
      <c r="Q49" s="26">
        <v>2.6478570000000001</v>
      </c>
    </row>
    <row r="50" spans="14:17">
      <c r="N50" s="33" t="s">
        <v>152</v>
      </c>
      <c r="O50" s="24">
        <v>2.6478570000000001</v>
      </c>
      <c r="P50" s="24">
        <v>2.6478570000000001</v>
      </c>
      <c r="Q50" s="26">
        <v>2.679834</v>
      </c>
    </row>
    <row r="51" spans="14:17">
      <c r="N51" s="34" t="s">
        <v>153</v>
      </c>
      <c r="O51" s="24">
        <v>2.5519259999999999</v>
      </c>
      <c r="P51" s="24">
        <v>2.5732439999999999</v>
      </c>
      <c r="Q51" s="26">
        <v>2.5839029999999998</v>
      </c>
    </row>
    <row r="52" spans="14:17">
      <c r="N52" s="34" t="s">
        <v>153</v>
      </c>
      <c r="O52" s="24">
        <v>2.5839029999999998</v>
      </c>
      <c r="P52" s="24">
        <v>2.5945620000000003</v>
      </c>
      <c r="Q52" s="26">
        <v>2.5945620000000003</v>
      </c>
    </row>
    <row r="53" spans="14:17">
      <c r="N53" s="34" t="s">
        <v>153</v>
      </c>
      <c r="O53" s="24">
        <v>2.6052210000000002</v>
      </c>
      <c r="P53" s="24">
        <v>2.6158799999999998</v>
      </c>
      <c r="Q53" s="26">
        <v>2.6265389999999997</v>
      </c>
    </row>
    <row r="54" spans="14:17">
      <c r="N54" s="31" t="s">
        <v>150</v>
      </c>
      <c r="O54" s="24">
        <v>1.9017270000000002</v>
      </c>
      <c r="P54" s="24">
        <v>1.9123859999999997</v>
      </c>
      <c r="Q54" s="26">
        <v>1.9230449999999999</v>
      </c>
    </row>
    <row r="55" spans="14:17">
      <c r="N55" s="31" t="s">
        <v>150</v>
      </c>
      <c r="O55" s="24">
        <v>1.6992059999999998</v>
      </c>
      <c r="P55" s="24">
        <v>1.7205239999999999</v>
      </c>
      <c r="Q55" s="26">
        <v>2.0296349999999999</v>
      </c>
    </row>
    <row r="56" spans="14:17">
      <c r="N56" s="31" t="s">
        <v>150</v>
      </c>
      <c r="O56" s="24">
        <v>1.8484319999999999</v>
      </c>
      <c r="P56" s="24">
        <v>1.8590909999999998</v>
      </c>
      <c r="Q56" s="26">
        <v>2.0083169999999999</v>
      </c>
    </row>
    <row r="57" spans="14:17">
      <c r="N57" s="32" t="s">
        <v>151</v>
      </c>
      <c r="O57" s="24">
        <v>2.3813819999999994</v>
      </c>
      <c r="P57" s="24">
        <v>2.3920409999999994</v>
      </c>
      <c r="Q57" s="26">
        <v>2.3920409999999994</v>
      </c>
    </row>
    <row r="58" spans="14:17">
      <c r="N58" s="32" t="s">
        <v>151</v>
      </c>
      <c r="O58" s="24">
        <v>2.4346769999999998</v>
      </c>
      <c r="P58" s="24">
        <v>2.4026999999999998</v>
      </c>
      <c r="Q58" s="26">
        <v>2.4346769999999998</v>
      </c>
    </row>
    <row r="59" spans="14:17">
      <c r="N59" s="32" t="s">
        <v>151</v>
      </c>
      <c r="O59" s="24">
        <v>2.4240179999999998</v>
      </c>
      <c r="P59" s="24">
        <v>2.4133589999999998</v>
      </c>
      <c r="Q59" s="26">
        <v>2.3813819999999994</v>
      </c>
    </row>
    <row r="60" spans="14:17">
      <c r="N60" s="33" t="s">
        <v>152</v>
      </c>
      <c r="O60" s="24">
        <v>2.701152</v>
      </c>
      <c r="P60" s="24">
        <v>2.7651060000000003</v>
      </c>
      <c r="Q60" s="26">
        <v>2.7757649999999998</v>
      </c>
    </row>
    <row r="61" spans="14:17">
      <c r="N61" s="33" t="s">
        <v>152</v>
      </c>
      <c r="O61" s="24">
        <v>2.6904930000000005</v>
      </c>
      <c r="P61" s="24">
        <v>2.7224699999999999</v>
      </c>
      <c r="Q61" s="26">
        <v>2.7651060000000003</v>
      </c>
    </row>
    <row r="62" spans="14:17">
      <c r="N62" s="33" t="s">
        <v>152</v>
      </c>
      <c r="O62" s="24">
        <v>2.7437880000000003</v>
      </c>
      <c r="P62" s="24">
        <v>2.7651060000000003</v>
      </c>
      <c r="Q62" s="26">
        <v>2.7864239999999998</v>
      </c>
    </row>
    <row r="63" spans="14:17">
      <c r="N63" s="34" t="s">
        <v>153</v>
      </c>
      <c r="O63" s="24">
        <v>2.6904930000000005</v>
      </c>
      <c r="P63" s="24">
        <v>3.1701479999999997</v>
      </c>
      <c r="Q63" s="26">
        <v>3.0102629999999997</v>
      </c>
    </row>
    <row r="64" spans="14:17">
      <c r="N64" s="34" t="s">
        <v>153</v>
      </c>
      <c r="O64" s="24">
        <v>3.0209219999999997</v>
      </c>
      <c r="P64" s="24">
        <v>2.9996040000000002</v>
      </c>
      <c r="Q64" s="26">
        <v>3.1168529999999999</v>
      </c>
    </row>
    <row r="65" spans="14:17" ht="14.4" thickBot="1">
      <c r="N65" s="36" t="s">
        <v>153</v>
      </c>
      <c r="O65" s="25">
        <v>2.9889450000000006</v>
      </c>
      <c r="P65" s="25">
        <v>3.1381709999999998</v>
      </c>
      <c r="Q65" s="27">
        <v>3.063558</v>
      </c>
    </row>
    <row r="77" spans="14:17" ht="16.2" customHeight="1"/>
    <row r="78" spans="14:17" ht="16.2" customHeight="1"/>
    <row r="79" spans="14:17" ht="16.2" customHeight="1"/>
    <row r="80" spans="14:17" ht="16.2" customHeight="1"/>
    <row r="81" ht="16.2" customHeight="1"/>
    <row r="82" ht="16.2" customHeight="1"/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Line="0" autoPict="0" r:id="rId5">
            <anchor>
              <from>
                <xdr:col>14</xdr:col>
                <xdr:colOff>160020</xdr:colOff>
                <xdr:row>4</xdr:row>
                <xdr:rowOff>60960</xdr:rowOff>
              </from>
              <to>
                <xdr:col>16</xdr:col>
                <xdr:colOff>251460</xdr:colOff>
                <xdr:row>8</xdr:row>
                <xdr:rowOff>60960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Q18"/>
  <sheetViews>
    <sheetView workbookViewId="0">
      <selection activeCell="N1" activeCellId="3" sqref="F1 J1 M1 N1"/>
    </sheetView>
  </sheetViews>
  <sheetFormatPr defaultRowHeight="13.8"/>
  <cols>
    <col min="1" max="1" width="8.88671875" style="2"/>
    <col min="2" max="17" width="11.88671875" bestFit="1" customWidth="1"/>
  </cols>
  <sheetData>
    <row r="1" spans="1:17">
      <c r="B1" s="51" t="s">
        <v>200</v>
      </c>
      <c r="C1" s="51" t="s">
        <v>200</v>
      </c>
      <c r="D1" s="51" t="s">
        <v>200</v>
      </c>
      <c r="E1" s="51" t="s">
        <v>200</v>
      </c>
      <c r="F1" s="51" t="s">
        <v>201</v>
      </c>
      <c r="G1" s="51" t="s">
        <v>201</v>
      </c>
      <c r="H1" s="51" t="s">
        <v>201</v>
      </c>
      <c r="I1" s="51" t="s">
        <v>201</v>
      </c>
      <c r="J1" s="51" t="s">
        <v>202</v>
      </c>
      <c r="K1" s="51" t="s">
        <v>202</v>
      </c>
      <c r="L1" s="51" t="s">
        <v>202</v>
      </c>
      <c r="M1" s="51" t="s">
        <v>202</v>
      </c>
      <c r="N1" s="23" t="s">
        <v>203</v>
      </c>
      <c r="O1" s="23" t="s">
        <v>203</v>
      </c>
      <c r="P1" s="23" t="s">
        <v>203</v>
      </c>
      <c r="Q1" s="23" t="s">
        <v>203</v>
      </c>
    </row>
    <row r="2" spans="1:17" s="2" customFormat="1">
      <c r="A2" s="16"/>
      <c r="B2" s="14" t="s">
        <v>150</v>
      </c>
      <c r="C2" s="15" t="s">
        <v>151</v>
      </c>
      <c r="D2" s="15" t="s">
        <v>152</v>
      </c>
      <c r="E2" s="15" t="s">
        <v>153</v>
      </c>
      <c r="F2" s="15" t="s">
        <v>150</v>
      </c>
      <c r="G2" s="15" t="s">
        <v>151</v>
      </c>
      <c r="H2" s="15" t="s">
        <v>152</v>
      </c>
      <c r="I2" s="15" t="s">
        <v>153</v>
      </c>
      <c r="J2" s="15" t="s">
        <v>150</v>
      </c>
      <c r="K2" s="15" t="s">
        <v>151</v>
      </c>
      <c r="L2" s="15" t="s">
        <v>152</v>
      </c>
      <c r="M2" s="15" t="s">
        <v>153</v>
      </c>
      <c r="N2" s="15" t="s">
        <v>150</v>
      </c>
      <c r="O2" s="15" t="s">
        <v>151</v>
      </c>
      <c r="P2" s="15" t="s">
        <v>152</v>
      </c>
      <c r="Q2" s="15" t="s">
        <v>153</v>
      </c>
    </row>
    <row r="3" spans="1:17">
      <c r="A3" s="14" t="s">
        <v>147</v>
      </c>
      <c r="B3" s="38" t="s">
        <v>161</v>
      </c>
      <c r="C3" s="38" t="s">
        <v>162</v>
      </c>
      <c r="D3" s="38" t="s">
        <v>163</v>
      </c>
      <c r="E3" s="50" t="s">
        <v>164</v>
      </c>
      <c r="F3" s="50" t="s">
        <v>161</v>
      </c>
      <c r="G3" s="50" t="s">
        <v>165</v>
      </c>
      <c r="H3" s="50" t="s">
        <v>166</v>
      </c>
      <c r="I3" s="50" t="s">
        <v>167</v>
      </c>
      <c r="J3" s="50" t="s">
        <v>161</v>
      </c>
      <c r="K3" s="50" t="s">
        <v>168</v>
      </c>
      <c r="L3" s="50" t="s">
        <v>169</v>
      </c>
      <c r="M3" s="50" t="s">
        <v>170</v>
      </c>
      <c r="N3" s="50" t="s">
        <v>161</v>
      </c>
      <c r="O3" s="50" t="s">
        <v>171</v>
      </c>
      <c r="P3" s="50" t="s">
        <v>172</v>
      </c>
      <c r="Q3" s="50" t="s">
        <v>173</v>
      </c>
    </row>
    <row r="4" spans="1:17">
      <c r="A4" s="15" t="s">
        <v>148</v>
      </c>
      <c r="B4" s="38" t="s">
        <v>174</v>
      </c>
      <c r="C4" s="38" t="s">
        <v>175</v>
      </c>
      <c r="D4" s="38" t="s">
        <v>176</v>
      </c>
      <c r="E4" s="50" t="s">
        <v>177</v>
      </c>
      <c r="F4" s="50" t="s">
        <v>174</v>
      </c>
      <c r="G4" s="50" t="s">
        <v>178</v>
      </c>
      <c r="H4" s="50" t="s">
        <v>179</v>
      </c>
      <c r="I4" s="50" t="s">
        <v>180</v>
      </c>
      <c r="J4" s="50" t="s">
        <v>174</v>
      </c>
      <c r="K4" s="50" t="s">
        <v>181</v>
      </c>
      <c r="L4" s="50" t="s">
        <v>182</v>
      </c>
      <c r="M4" s="50" t="s">
        <v>183</v>
      </c>
      <c r="N4" s="50" t="s">
        <v>174</v>
      </c>
      <c r="O4" s="50" t="s">
        <v>184</v>
      </c>
      <c r="P4" s="50" t="s">
        <v>185</v>
      </c>
      <c r="Q4" s="50" t="s">
        <v>186</v>
      </c>
    </row>
    <row r="5" spans="1:17">
      <c r="A5" s="15" t="s">
        <v>149</v>
      </c>
      <c r="B5" s="38" t="s">
        <v>187</v>
      </c>
      <c r="C5" s="38" t="s">
        <v>188</v>
      </c>
      <c r="D5" s="38" t="s">
        <v>189</v>
      </c>
      <c r="E5" s="50" t="s">
        <v>190</v>
      </c>
      <c r="F5" s="50" t="s">
        <v>187</v>
      </c>
      <c r="G5" s="50" t="s">
        <v>191</v>
      </c>
      <c r="H5" s="50" t="s">
        <v>192</v>
      </c>
      <c r="I5" s="50" t="s">
        <v>193</v>
      </c>
      <c r="J5" s="50" t="s">
        <v>187</v>
      </c>
      <c r="K5" s="50" t="s">
        <v>194</v>
      </c>
      <c r="L5" s="50" t="s">
        <v>195</v>
      </c>
      <c r="M5" s="50" t="s">
        <v>196</v>
      </c>
      <c r="N5" s="50" t="s">
        <v>187</v>
      </c>
      <c r="O5" s="50" t="s">
        <v>197</v>
      </c>
      <c r="P5" s="50" t="s">
        <v>198</v>
      </c>
      <c r="Q5" s="50" t="s">
        <v>199</v>
      </c>
    </row>
    <row r="6" spans="1:17">
      <c r="A6" s="15"/>
      <c r="B6" s="38"/>
      <c r="C6" s="38"/>
      <c r="D6" s="38"/>
    </row>
    <row r="7" spans="1:17">
      <c r="A7" s="15"/>
      <c r="B7" s="38"/>
      <c r="C7" s="38"/>
      <c r="D7" s="38"/>
    </row>
    <row r="8" spans="1:17">
      <c r="A8" s="15"/>
      <c r="B8" s="38"/>
      <c r="C8" s="38"/>
      <c r="D8" s="38"/>
    </row>
    <row r="9" spans="1:17">
      <c r="A9" s="15"/>
      <c r="B9" s="38"/>
      <c r="C9" s="38"/>
      <c r="D9" s="38"/>
    </row>
    <row r="10" spans="1:17">
      <c r="A10" s="15"/>
      <c r="B10" s="38"/>
      <c r="C10" s="38"/>
      <c r="D10" s="38"/>
    </row>
    <row r="11" spans="1:17">
      <c r="A11" s="15"/>
      <c r="B11" s="38"/>
      <c r="C11" s="38"/>
      <c r="D11" s="38"/>
    </row>
    <row r="12" spans="1:17">
      <c r="A12" s="15"/>
      <c r="B12" s="38"/>
      <c r="C12" s="38"/>
      <c r="D12" s="38"/>
    </row>
    <row r="13" spans="1:17">
      <c r="A13" s="15"/>
      <c r="B13" s="38"/>
      <c r="C13" s="38"/>
      <c r="D13" s="38"/>
    </row>
    <row r="14" spans="1:17">
      <c r="A14" s="15"/>
      <c r="B14" s="38"/>
      <c r="C14" s="38"/>
      <c r="D14" s="38"/>
    </row>
    <row r="15" spans="1:17">
      <c r="A15" s="15"/>
      <c r="B15" s="38"/>
      <c r="C15" s="38"/>
      <c r="D15" s="38"/>
    </row>
    <row r="16" spans="1:17">
      <c r="A16" s="15"/>
      <c r="B16" s="38"/>
      <c r="C16" s="38"/>
      <c r="D16" s="38"/>
    </row>
    <row r="17" spans="1:4">
      <c r="A17" s="15"/>
      <c r="B17" s="38"/>
      <c r="C17" s="38"/>
      <c r="D17" s="38"/>
    </row>
    <row r="18" spans="1:4">
      <c r="A18" s="15"/>
      <c r="B18" s="38"/>
      <c r="C18" s="38"/>
      <c r="D18" s="38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I26"/>
  <sheetViews>
    <sheetView workbookViewId="0">
      <selection activeCell="L13" sqref="L13"/>
    </sheetView>
  </sheetViews>
  <sheetFormatPr defaultRowHeight="13.8"/>
  <cols>
    <col min="1" max="1" width="8.6640625" style="2" customWidth="1"/>
    <col min="2" max="9" width="8.5546875" customWidth="1"/>
    <col min="10" max="33" width="6.6640625" bestFit="1" customWidth="1"/>
  </cols>
  <sheetData>
    <row r="1" spans="1:9">
      <c r="B1" s="51" t="s">
        <v>200</v>
      </c>
      <c r="C1" s="51" t="s">
        <v>200</v>
      </c>
      <c r="D1" s="51" t="s">
        <v>200</v>
      </c>
      <c r="E1" s="51" t="s">
        <v>200</v>
      </c>
      <c r="F1" s="51" t="s">
        <v>200</v>
      </c>
      <c r="G1" s="51" t="s">
        <v>200</v>
      </c>
      <c r="H1" s="51" t="s">
        <v>200</v>
      </c>
      <c r="I1" s="51" t="s">
        <v>200</v>
      </c>
    </row>
    <row r="2" spans="1:9" s="2" customFormat="1">
      <c r="A2" s="16"/>
      <c r="B2" s="14" t="s">
        <v>150</v>
      </c>
      <c r="C2" s="15" t="s">
        <v>77</v>
      </c>
      <c r="D2" s="15" t="s">
        <v>151</v>
      </c>
      <c r="E2" s="15" t="s">
        <v>77</v>
      </c>
      <c r="F2" s="15" t="s">
        <v>152</v>
      </c>
      <c r="G2" s="15" t="s">
        <v>77</v>
      </c>
      <c r="H2" s="15" t="s">
        <v>153</v>
      </c>
      <c r="I2" s="15" t="s">
        <v>77</v>
      </c>
    </row>
    <row r="3" spans="1:9">
      <c r="A3" s="14" t="s">
        <v>147</v>
      </c>
      <c r="B3" s="49">
        <v>1.8160000000000001</v>
      </c>
      <c r="C3" s="49">
        <v>0.105</v>
      </c>
      <c r="D3" s="49">
        <v>2.0150000000000001</v>
      </c>
      <c r="E3" s="49">
        <v>3.4000000000000002E-2</v>
      </c>
      <c r="F3" s="49">
        <v>2.129</v>
      </c>
      <c r="G3" s="49">
        <v>3.3000000000000002E-2</v>
      </c>
      <c r="H3" s="49">
        <v>2.3210000000000002</v>
      </c>
      <c r="I3" s="49">
        <v>2.1999999999999999E-2</v>
      </c>
    </row>
    <row r="4" spans="1:9">
      <c r="A4" s="15" t="s">
        <v>148</v>
      </c>
      <c r="B4" s="49">
        <v>1.831</v>
      </c>
      <c r="C4" s="49">
        <v>9.9000000000000005E-2</v>
      </c>
      <c r="D4" s="49">
        <v>2.0259999999999998</v>
      </c>
      <c r="E4" s="49">
        <v>3.4000000000000002E-2</v>
      </c>
      <c r="F4" s="49">
        <v>2.1579999999999999</v>
      </c>
      <c r="G4" s="49">
        <v>3.2000000000000001E-2</v>
      </c>
      <c r="H4" s="49">
        <v>2.3170000000000002</v>
      </c>
      <c r="I4" s="49">
        <v>1.7999999999999999E-2</v>
      </c>
    </row>
    <row r="5" spans="1:9">
      <c r="A5" s="15" t="s">
        <v>149</v>
      </c>
      <c r="B5" s="49">
        <v>1.9870000000000001</v>
      </c>
      <c r="C5" s="49">
        <v>5.6000000000000001E-2</v>
      </c>
      <c r="D5" s="49">
        <v>2.0329999999999999</v>
      </c>
      <c r="E5" s="49">
        <v>3.3000000000000002E-2</v>
      </c>
      <c r="F5" s="49">
        <v>2.1859999999999999</v>
      </c>
      <c r="G5" s="49">
        <v>2.1999999999999999E-2</v>
      </c>
      <c r="H5" s="49">
        <v>2.3639999999999999</v>
      </c>
      <c r="I5" s="49">
        <v>2.7E-2</v>
      </c>
    </row>
    <row r="6" spans="1:9">
      <c r="A6" s="15"/>
      <c r="B6" s="17"/>
      <c r="C6" s="17"/>
      <c r="D6" s="17"/>
      <c r="E6" s="17"/>
      <c r="F6" s="17"/>
      <c r="G6" s="17"/>
    </row>
    <row r="7" spans="1:9">
      <c r="A7" s="15"/>
      <c r="B7" s="17"/>
      <c r="C7" s="17"/>
      <c r="D7" s="17"/>
      <c r="E7" s="17"/>
      <c r="F7" s="17"/>
      <c r="G7" s="17"/>
    </row>
    <row r="8" spans="1:9">
      <c r="A8" s="15"/>
      <c r="B8" s="51" t="s">
        <v>201</v>
      </c>
      <c r="C8" s="51" t="s">
        <v>201</v>
      </c>
      <c r="D8" s="51" t="s">
        <v>201</v>
      </c>
      <c r="E8" s="51" t="s">
        <v>201</v>
      </c>
      <c r="F8" s="51" t="s">
        <v>201</v>
      </c>
      <c r="G8" s="51" t="s">
        <v>201</v>
      </c>
      <c r="H8" s="51" t="s">
        <v>201</v>
      </c>
      <c r="I8" s="51" t="s">
        <v>201</v>
      </c>
    </row>
    <row r="9" spans="1:9">
      <c r="A9" s="15"/>
      <c r="B9" s="15" t="s">
        <v>150</v>
      </c>
      <c r="C9" s="15" t="s">
        <v>77</v>
      </c>
      <c r="D9" s="15" t="s">
        <v>151</v>
      </c>
      <c r="E9" s="15" t="s">
        <v>77</v>
      </c>
      <c r="F9" s="15" t="s">
        <v>152</v>
      </c>
      <c r="G9" s="15" t="s">
        <v>77</v>
      </c>
      <c r="H9" s="15" t="s">
        <v>153</v>
      </c>
      <c r="I9" s="15" t="s">
        <v>77</v>
      </c>
    </row>
    <row r="10" spans="1:9">
      <c r="A10" s="14" t="s">
        <v>147</v>
      </c>
      <c r="B10" s="49">
        <v>1.8160000000000001</v>
      </c>
      <c r="C10" s="49">
        <v>0.105</v>
      </c>
      <c r="D10" s="49">
        <v>2.0550000000000002</v>
      </c>
      <c r="E10" s="49">
        <v>2.1999999999999999E-2</v>
      </c>
      <c r="F10" s="49">
        <v>2.2570000000000001</v>
      </c>
      <c r="G10" s="49">
        <v>3.3000000000000002E-2</v>
      </c>
      <c r="H10" s="49">
        <v>2.431</v>
      </c>
      <c r="I10" s="49">
        <v>6.0000000000000001E-3</v>
      </c>
    </row>
    <row r="11" spans="1:9">
      <c r="A11" s="15" t="s">
        <v>148</v>
      </c>
      <c r="B11" s="49">
        <v>1.831</v>
      </c>
      <c r="C11" s="49">
        <v>9.9000000000000005E-2</v>
      </c>
      <c r="D11" s="49">
        <v>2.0720000000000001</v>
      </c>
      <c r="E11" s="49">
        <v>4.2999999999999997E-2</v>
      </c>
      <c r="F11" s="49">
        <v>2.2360000000000002</v>
      </c>
      <c r="G11" s="49">
        <v>4.8000000000000001E-2</v>
      </c>
      <c r="H11" s="49">
        <v>2.4380000000000002</v>
      </c>
      <c r="I11" s="49">
        <v>6.0000000000000001E-3</v>
      </c>
    </row>
    <row r="12" spans="1:9">
      <c r="A12" s="15" t="s">
        <v>149</v>
      </c>
      <c r="B12" s="49">
        <v>1.9870000000000001</v>
      </c>
      <c r="C12" s="49">
        <v>5.6000000000000001E-2</v>
      </c>
      <c r="D12" s="49">
        <v>2.1539999999999999</v>
      </c>
      <c r="E12" s="49">
        <v>2.1999999999999999E-2</v>
      </c>
      <c r="F12" s="49">
        <v>2.2290000000000001</v>
      </c>
      <c r="G12" s="49">
        <v>1.6E-2</v>
      </c>
      <c r="H12" s="49">
        <v>2.46</v>
      </c>
      <c r="I12" s="49">
        <v>1.2E-2</v>
      </c>
    </row>
    <row r="13" spans="1:9">
      <c r="A13" s="15"/>
      <c r="B13" s="17"/>
      <c r="C13" s="17"/>
      <c r="D13" s="17"/>
      <c r="E13" s="17"/>
      <c r="F13" s="17"/>
      <c r="G13" s="17"/>
    </row>
    <row r="14" spans="1:9">
      <c r="A14" s="15"/>
      <c r="B14" s="17"/>
      <c r="C14" s="17"/>
      <c r="D14" s="17"/>
      <c r="E14" s="17"/>
      <c r="F14" s="17"/>
      <c r="G14" s="17"/>
    </row>
    <row r="15" spans="1:9">
      <c r="A15" s="15"/>
      <c r="B15" s="51" t="s">
        <v>202</v>
      </c>
      <c r="C15" s="51" t="s">
        <v>202</v>
      </c>
      <c r="D15" s="51" t="s">
        <v>202</v>
      </c>
      <c r="E15" s="51" t="s">
        <v>202</v>
      </c>
      <c r="F15" s="51" t="s">
        <v>202</v>
      </c>
      <c r="G15" s="51" t="s">
        <v>202</v>
      </c>
      <c r="H15" s="51" t="s">
        <v>202</v>
      </c>
      <c r="I15" s="51" t="s">
        <v>202</v>
      </c>
    </row>
    <row r="16" spans="1:9">
      <c r="A16" s="15"/>
      <c r="B16" s="15" t="s">
        <v>150</v>
      </c>
      <c r="C16" s="15" t="s">
        <v>77</v>
      </c>
      <c r="D16" s="15" t="s">
        <v>151</v>
      </c>
      <c r="E16" s="15" t="s">
        <v>77</v>
      </c>
      <c r="F16" s="15" t="s">
        <v>152</v>
      </c>
      <c r="G16" s="15" t="s">
        <v>77</v>
      </c>
      <c r="H16" s="15" t="s">
        <v>153</v>
      </c>
      <c r="I16" s="15" t="s">
        <v>77</v>
      </c>
    </row>
    <row r="17" spans="1:9">
      <c r="A17" s="14" t="s">
        <v>147</v>
      </c>
      <c r="B17" s="49">
        <v>1.8160000000000001</v>
      </c>
      <c r="C17" s="49">
        <v>0.105</v>
      </c>
      <c r="D17" s="49">
        <v>2.1930000000000001</v>
      </c>
      <c r="E17" s="49">
        <v>1.6E-2</v>
      </c>
      <c r="F17" s="49">
        <v>2.637</v>
      </c>
      <c r="G17" s="49">
        <v>1.0999999999999999E-2</v>
      </c>
      <c r="H17" s="49">
        <v>2.58</v>
      </c>
      <c r="I17" s="49">
        <v>2.7E-2</v>
      </c>
    </row>
    <row r="18" spans="1:9">
      <c r="A18" s="15" t="s">
        <v>148</v>
      </c>
      <c r="B18" s="49">
        <v>1.831</v>
      </c>
      <c r="C18" s="49">
        <v>9.9000000000000005E-2</v>
      </c>
      <c r="D18" s="49">
        <v>2.2250000000000001</v>
      </c>
      <c r="E18" s="49">
        <v>2.1999999999999999E-2</v>
      </c>
      <c r="F18" s="49">
        <v>2.6480000000000001</v>
      </c>
      <c r="G18" s="49">
        <v>0</v>
      </c>
      <c r="H18" s="49">
        <v>2.5950000000000002</v>
      </c>
      <c r="I18" s="49">
        <v>2.1000000000000001E-2</v>
      </c>
    </row>
    <row r="19" spans="1:9">
      <c r="A19" s="15" t="s">
        <v>149</v>
      </c>
      <c r="B19" s="49">
        <v>1.9870000000000001</v>
      </c>
      <c r="C19" s="49">
        <v>5.6000000000000001E-2</v>
      </c>
      <c r="D19" s="49">
        <v>2.2429999999999999</v>
      </c>
      <c r="E19" s="49">
        <v>1.7999999999999999E-2</v>
      </c>
      <c r="F19" s="49">
        <v>2.6589999999999998</v>
      </c>
      <c r="G19" s="49">
        <v>1.7999999999999999E-2</v>
      </c>
      <c r="H19" s="49">
        <v>2.6019999999999999</v>
      </c>
      <c r="I19" s="49">
        <v>2.1999999999999999E-2</v>
      </c>
    </row>
    <row r="22" spans="1:9">
      <c r="B22" s="23" t="s">
        <v>203</v>
      </c>
      <c r="C22" s="23" t="s">
        <v>203</v>
      </c>
      <c r="D22" s="23" t="s">
        <v>203</v>
      </c>
      <c r="E22" s="23" t="s">
        <v>203</v>
      </c>
      <c r="F22" s="23" t="s">
        <v>203</v>
      </c>
      <c r="G22" s="23" t="s">
        <v>203</v>
      </c>
      <c r="H22" s="23" t="s">
        <v>203</v>
      </c>
      <c r="I22" s="23" t="s">
        <v>203</v>
      </c>
    </row>
    <row r="23" spans="1:9">
      <c r="B23" s="15" t="s">
        <v>150</v>
      </c>
      <c r="C23" s="15" t="s">
        <v>77</v>
      </c>
      <c r="D23" s="15" t="s">
        <v>151</v>
      </c>
      <c r="E23" s="15" t="s">
        <v>77</v>
      </c>
      <c r="F23" s="15" t="s">
        <v>152</v>
      </c>
      <c r="G23" s="15" t="s">
        <v>77</v>
      </c>
      <c r="H23" s="15" t="s">
        <v>153</v>
      </c>
      <c r="I23" s="15" t="s">
        <v>77</v>
      </c>
    </row>
    <row r="24" spans="1:9">
      <c r="A24" s="14" t="s">
        <v>147</v>
      </c>
      <c r="B24" s="49">
        <v>1.8160000000000001</v>
      </c>
      <c r="C24" s="49">
        <v>0.105</v>
      </c>
      <c r="D24" s="49">
        <v>2.4129999999999998</v>
      </c>
      <c r="E24" s="49">
        <v>2.8000000000000001E-2</v>
      </c>
      <c r="F24" s="49">
        <v>2.7120000000000002</v>
      </c>
      <c r="G24" s="49">
        <v>2.8000000000000001E-2</v>
      </c>
      <c r="H24" s="49">
        <v>2.9</v>
      </c>
      <c r="I24" s="49">
        <v>0.182</v>
      </c>
    </row>
    <row r="25" spans="1:9">
      <c r="A25" s="15" t="s">
        <v>148</v>
      </c>
      <c r="B25" s="49">
        <v>1.831</v>
      </c>
      <c r="C25" s="49">
        <v>9.9000000000000005E-2</v>
      </c>
      <c r="D25" s="49">
        <v>2.403</v>
      </c>
      <c r="E25" s="49">
        <v>1.0999999999999999E-2</v>
      </c>
      <c r="F25" s="49">
        <v>2.7509999999999999</v>
      </c>
      <c r="G25" s="49">
        <v>2.5000000000000001E-2</v>
      </c>
      <c r="H25" s="49">
        <v>3.1030000000000002</v>
      </c>
      <c r="I25" s="49">
        <v>9.0999999999999998E-2</v>
      </c>
    </row>
    <row r="26" spans="1:9">
      <c r="A26" s="15" t="s">
        <v>149</v>
      </c>
      <c r="B26" s="49">
        <v>1.9870000000000001</v>
      </c>
      <c r="C26" s="49">
        <v>5.6000000000000001E-2</v>
      </c>
      <c r="D26" s="49">
        <v>2.403</v>
      </c>
      <c r="E26" s="49">
        <v>2.8000000000000001E-2</v>
      </c>
      <c r="F26" s="49">
        <v>2.7759999999999998</v>
      </c>
      <c r="G26" s="49">
        <v>1.0999999999999999E-2</v>
      </c>
      <c r="H26" s="49">
        <v>3.0640000000000001</v>
      </c>
      <c r="I26" s="49">
        <v>5.2999999999999999E-2</v>
      </c>
    </row>
  </sheetData>
  <sortState xmlns:xlrd2="http://schemas.microsoft.com/office/spreadsheetml/2017/richdata2" ref="A3:G14">
    <sortCondition descending="1" ref="A2:A14"/>
  </sortState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FEF31-C324-4E57-ABCE-098DCD1B4381}">
  <sheetPr codeName="Sheet8"/>
  <dimension ref="A1:D145"/>
  <sheetViews>
    <sheetView tabSelected="1" topLeftCell="A101" workbookViewId="0">
      <selection activeCell="A2" sqref="A2:D145"/>
    </sheetView>
  </sheetViews>
  <sheetFormatPr defaultRowHeight="13.8"/>
  <sheetData>
    <row r="1" spans="1:4">
      <c r="A1" t="s">
        <v>216</v>
      </c>
      <c r="B1" t="s">
        <v>219</v>
      </c>
      <c r="C1" t="s">
        <v>217</v>
      </c>
      <c r="D1" t="s">
        <v>218</v>
      </c>
    </row>
    <row r="2" spans="1:4">
      <c r="A2">
        <v>-10</v>
      </c>
      <c r="B2" t="s">
        <v>158</v>
      </c>
      <c r="C2" t="s">
        <v>204</v>
      </c>
      <c r="D2" s="19">
        <v>1.9017270000000002</v>
      </c>
    </row>
    <row r="3" spans="1:4">
      <c r="A3">
        <v>-10</v>
      </c>
      <c r="B3" t="s">
        <v>158</v>
      </c>
      <c r="C3" t="s">
        <v>204</v>
      </c>
      <c r="D3" s="19">
        <v>1.6992059999999998</v>
      </c>
    </row>
    <row r="4" spans="1:4">
      <c r="A4">
        <v>-10</v>
      </c>
      <c r="B4" t="s">
        <v>158</v>
      </c>
      <c r="C4" t="s">
        <v>204</v>
      </c>
      <c r="D4" s="19">
        <v>1.8484319999999999</v>
      </c>
    </row>
    <row r="5" spans="1:4">
      <c r="A5">
        <v>-10</v>
      </c>
      <c r="B5" t="s">
        <v>158</v>
      </c>
      <c r="C5" t="s">
        <v>205</v>
      </c>
      <c r="D5" s="19">
        <v>1.9763400000000002</v>
      </c>
    </row>
    <row r="6" spans="1:4">
      <c r="A6">
        <v>-10</v>
      </c>
      <c r="B6" t="s">
        <v>158</v>
      </c>
      <c r="C6" t="s">
        <v>205</v>
      </c>
      <c r="D6" s="19">
        <v>2.0402940000000003</v>
      </c>
    </row>
    <row r="7" spans="1:4">
      <c r="A7">
        <v>-10</v>
      </c>
      <c r="B7" t="s">
        <v>158</v>
      </c>
      <c r="C7" t="s">
        <v>205</v>
      </c>
      <c r="D7" s="19">
        <v>2.0296349999999999</v>
      </c>
    </row>
    <row r="8" spans="1:4">
      <c r="A8">
        <v>-10</v>
      </c>
      <c r="B8" t="s">
        <v>158</v>
      </c>
      <c r="C8" t="s">
        <v>206</v>
      </c>
      <c r="D8" s="19">
        <v>2.157543</v>
      </c>
    </row>
    <row r="9" spans="1:4">
      <c r="A9">
        <v>-10</v>
      </c>
      <c r="B9" t="s">
        <v>158</v>
      </c>
      <c r="C9" t="s">
        <v>206</v>
      </c>
      <c r="D9" s="19">
        <v>2.0935890000000001</v>
      </c>
    </row>
    <row r="10" spans="1:4">
      <c r="A10">
        <v>-10</v>
      </c>
      <c r="B10" t="s">
        <v>158</v>
      </c>
      <c r="C10" t="s">
        <v>206</v>
      </c>
      <c r="D10" s="19">
        <v>2.1362250000000005</v>
      </c>
    </row>
    <row r="11" spans="1:4">
      <c r="A11">
        <v>-10</v>
      </c>
      <c r="B11" t="s">
        <v>158</v>
      </c>
      <c r="C11" t="s">
        <v>207</v>
      </c>
      <c r="D11" s="19">
        <v>2.3387459999999995</v>
      </c>
    </row>
    <row r="12" spans="1:4">
      <c r="A12">
        <v>-10</v>
      </c>
      <c r="B12" t="s">
        <v>158</v>
      </c>
      <c r="C12" t="s">
        <v>207</v>
      </c>
      <c r="D12" s="19">
        <v>2.3280869999999996</v>
      </c>
    </row>
    <row r="13" spans="1:4">
      <c r="A13">
        <v>-10</v>
      </c>
      <c r="B13" t="s">
        <v>158</v>
      </c>
      <c r="C13" t="s">
        <v>207</v>
      </c>
      <c r="D13" s="19">
        <v>2.2961100000000005</v>
      </c>
    </row>
    <row r="14" spans="1:4">
      <c r="A14">
        <v>-10</v>
      </c>
      <c r="B14" t="s">
        <v>159</v>
      </c>
      <c r="C14" t="s">
        <v>208</v>
      </c>
      <c r="D14" s="19">
        <v>1.9123859999999997</v>
      </c>
    </row>
    <row r="15" spans="1:4">
      <c r="A15">
        <v>-10</v>
      </c>
      <c r="B15" t="s">
        <v>159</v>
      </c>
      <c r="C15" t="s">
        <v>208</v>
      </c>
      <c r="D15" s="19">
        <v>1.7205239999999999</v>
      </c>
    </row>
    <row r="16" spans="1:4">
      <c r="A16">
        <v>-10</v>
      </c>
      <c r="B16" t="s">
        <v>159</v>
      </c>
      <c r="C16" t="s">
        <v>208</v>
      </c>
      <c r="D16" s="19">
        <v>1.8590909999999998</v>
      </c>
    </row>
    <row r="17" spans="1:4">
      <c r="A17">
        <v>-10</v>
      </c>
      <c r="B17" t="s">
        <v>159</v>
      </c>
      <c r="C17" t="s">
        <v>209</v>
      </c>
      <c r="D17" s="19">
        <v>1.9869990000000004</v>
      </c>
    </row>
    <row r="18" spans="1:4">
      <c r="A18">
        <v>-10</v>
      </c>
      <c r="B18" t="s">
        <v>159</v>
      </c>
      <c r="C18" t="s">
        <v>209</v>
      </c>
      <c r="D18" s="19">
        <v>2.0509530000000002</v>
      </c>
    </row>
    <row r="19" spans="1:4">
      <c r="A19">
        <v>-10</v>
      </c>
      <c r="B19" t="s">
        <v>159</v>
      </c>
      <c r="C19" t="s">
        <v>209</v>
      </c>
      <c r="D19" s="19">
        <v>2.0402940000000003</v>
      </c>
    </row>
    <row r="20" spans="1:4">
      <c r="A20">
        <v>-10</v>
      </c>
      <c r="B20" t="s">
        <v>159</v>
      </c>
      <c r="C20" t="s">
        <v>210</v>
      </c>
      <c r="D20" s="19">
        <v>2.157543</v>
      </c>
    </row>
    <row r="21" spans="1:4">
      <c r="A21">
        <v>-10</v>
      </c>
      <c r="B21" t="s">
        <v>159</v>
      </c>
      <c r="C21" t="s">
        <v>210</v>
      </c>
      <c r="D21" s="19">
        <v>2.1255660000000001</v>
      </c>
    </row>
    <row r="22" spans="1:4">
      <c r="A22">
        <v>-10</v>
      </c>
      <c r="B22" t="s">
        <v>159</v>
      </c>
      <c r="C22" t="s">
        <v>210</v>
      </c>
      <c r="D22" s="19">
        <v>2.1895200000000004</v>
      </c>
    </row>
    <row r="23" spans="1:4">
      <c r="A23">
        <v>-10</v>
      </c>
      <c r="B23" t="s">
        <v>159</v>
      </c>
      <c r="C23" t="s">
        <v>211</v>
      </c>
      <c r="D23" s="19">
        <v>2.3387459999999995</v>
      </c>
    </row>
    <row r="24" spans="1:4">
      <c r="A24">
        <v>-10</v>
      </c>
      <c r="B24" t="s">
        <v>159</v>
      </c>
      <c r="C24" t="s">
        <v>211</v>
      </c>
      <c r="D24" s="19">
        <v>2.3067690000000001</v>
      </c>
    </row>
    <row r="25" spans="1:4">
      <c r="A25">
        <v>-10</v>
      </c>
      <c r="B25" t="s">
        <v>159</v>
      </c>
      <c r="C25" t="s">
        <v>211</v>
      </c>
      <c r="D25" s="19">
        <v>2.3067690000000001</v>
      </c>
    </row>
    <row r="26" spans="1:4">
      <c r="A26">
        <v>-10</v>
      </c>
      <c r="B26" t="s">
        <v>160</v>
      </c>
      <c r="C26" t="s">
        <v>212</v>
      </c>
      <c r="D26" s="19">
        <v>1.9230449999999999</v>
      </c>
    </row>
    <row r="27" spans="1:4">
      <c r="A27">
        <v>-10</v>
      </c>
      <c r="B27" t="s">
        <v>160</v>
      </c>
      <c r="C27" t="s">
        <v>212</v>
      </c>
      <c r="D27" s="19">
        <v>2.0296349999999999</v>
      </c>
    </row>
    <row r="28" spans="1:4">
      <c r="A28">
        <v>-10</v>
      </c>
      <c r="B28" t="s">
        <v>160</v>
      </c>
      <c r="C28" t="s">
        <v>212</v>
      </c>
      <c r="D28" s="19">
        <v>2.0083169999999999</v>
      </c>
    </row>
    <row r="29" spans="1:4">
      <c r="A29">
        <v>-10</v>
      </c>
      <c r="B29" t="s">
        <v>160</v>
      </c>
      <c r="C29" t="s">
        <v>213</v>
      </c>
      <c r="D29" s="19">
        <v>1.9976579999999999</v>
      </c>
    </row>
    <row r="30" spans="1:4">
      <c r="A30">
        <v>-10</v>
      </c>
      <c r="B30" t="s">
        <v>160</v>
      </c>
      <c r="C30" t="s">
        <v>213</v>
      </c>
      <c r="D30" s="19">
        <v>2.0402940000000003</v>
      </c>
    </row>
    <row r="31" spans="1:4">
      <c r="A31">
        <v>-10</v>
      </c>
      <c r="B31" t="s">
        <v>160</v>
      </c>
      <c r="C31" t="s">
        <v>213</v>
      </c>
      <c r="D31" s="19">
        <v>2.0616120000000002</v>
      </c>
    </row>
    <row r="32" spans="1:4">
      <c r="A32">
        <v>-10</v>
      </c>
      <c r="B32" t="s">
        <v>160</v>
      </c>
      <c r="C32" t="s">
        <v>214</v>
      </c>
      <c r="D32" s="19">
        <v>2.1788609999999999</v>
      </c>
    </row>
    <row r="33" spans="1:4">
      <c r="A33">
        <v>-10</v>
      </c>
      <c r="B33" t="s">
        <v>160</v>
      </c>
      <c r="C33" t="s">
        <v>214</v>
      </c>
      <c r="D33" s="19">
        <v>2.168202</v>
      </c>
    </row>
    <row r="34" spans="1:4">
      <c r="A34">
        <v>-10</v>
      </c>
      <c r="B34" t="s">
        <v>160</v>
      </c>
      <c r="C34" t="s">
        <v>214</v>
      </c>
      <c r="D34" s="19">
        <v>2.2108380000000003</v>
      </c>
    </row>
    <row r="35" spans="1:4">
      <c r="A35">
        <v>-10</v>
      </c>
      <c r="B35" t="s">
        <v>160</v>
      </c>
      <c r="C35" t="s">
        <v>215</v>
      </c>
      <c r="D35" s="19">
        <v>2.3600639999999999</v>
      </c>
    </row>
    <row r="36" spans="1:4">
      <c r="A36">
        <v>-10</v>
      </c>
      <c r="B36" t="s">
        <v>160</v>
      </c>
      <c r="C36" t="s">
        <v>215</v>
      </c>
      <c r="D36" s="19">
        <v>2.3920409999999994</v>
      </c>
    </row>
    <row r="37" spans="1:4">
      <c r="A37">
        <v>-10</v>
      </c>
      <c r="B37" t="s">
        <v>160</v>
      </c>
      <c r="C37" t="s">
        <v>215</v>
      </c>
      <c r="D37" s="19">
        <v>2.3387459999999995</v>
      </c>
    </row>
    <row r="38" spans="1:4">
      <c r="A38">
        <v>0</v>
      </c>
      <c r="B38" t="s">
        <v>158</v>
      </c>
      <c r="C38" t="s">
        <v>204</v>
      </c>
      <c r="D38" s="19">
        <v>1.9017270000000002</v>
      </c>
    </row>
    <row r="39" spans="1:4">
      <c r="A39">
        <v>0</v>
      </c>
      <c r="B39" t="s">
        <v>158</v>
      </c>
      <c r="C39" t="s">
        <v>204</v>
      </c>
      <c r="D39" s="19">
        <v>1.6992059999999998</v>
      </c>
    </row>
    <row r="40" spans="1:4">
      <c r="A40">
        <v>0</v>
      </c>
      <c r="B40" t="s">
        <v>158</v>
      </c>
      <c r="C40" t="s">
        <v>204</v>
      </c>
      <c r="D40" s="19">
        <v>1.8484319999999999</v>
      </c>
    </row>
    <row r="41" spans="1:4">
      <c r="A41">
        <v>0</v>
      </c>
      <c r="B41" t="s">
        <v>158</v>
      </c>
      <c r="C41" t="s">
        <v>205</v>
      </c>
      <c r="D41" s="19">
        <v>2.0296349999999999</v>
      </c>
    </row>
    <row r="42" spans="1:4">
      <c r="A42">
        <v>0</v>
      </c>
      <c r="B42" t="s">
        <v>158</v>
      </c>
      <c r="C42" t="s">
        <v>205</v>
      </c>
      <c r="D42" s="19">
        <v>2.0616120000000002</v>
      </c>
    </row>
    <row r="43" spans="1:4">
      <c r="A43">
        <v>0</v>
      </c>
      <c r="B43" t="s">
        <v>158</v>
      </c>
      <c r="C43" t="s">
        <v>205</v>
      </c>
      <c r="D43" s="19">
        <v>2.0722709999999998</v>
      </c>
    </row>
    <row r="44" spans="1:4">
      <c r="A44">
        <v>0</v>
      </c>
      <c r="B44" t="s">
        <v>158</v>
      </c>
      <c r="C44" t="s">
        <v>206</v>
      </c>
      <c r="D44" s="19">
        <v>2.2214970000000003</v>
      </c>
    </row>
    <row r="45" spans="1:4">
      <c r="A45">
        <v>0</v>
      </c>
      <c r="B45" t="s">
        <v>158</v>
      </c>
      <c r="C45" t="s">
        <v>206</v>
      </c>
      <c r="D45" s="19">
        <v>2.2854510000000006</v>
      </c>
    </row>
    <row r="46" spans="1:4">
      <c r="A46">
        <v>0</v>
      </c>
      <c r="B46" t="s">
        <v>158</v>
      </c>
      <c r="C46" t="s">
        <v>206</v>
      </c>
      <c r="D46" s="19">
        <v>2.2641330000000002</v>
      </c>
    </row>
    <row r="47" spans="1:4">
      <c r="A47">
        <v>0</v>
      </c>
      <c r="B47" t="s">
        <v>158</v>
      </c>
      <c r="C47" t="s">
        <v>207</v>
      </c>
      <c r="D47" s="19">
        <v>2.4346769999999998</v>
      </c>
    </row>
    <row r="48" spans="1:4">
      <c r="A48">
        <v>0</v>
      </c>
      <c r="B48" t="s">
        <v>158</v>
      </c>
      <c r="C48" t="s">
        <v>207</v>
      </c>
      <c r="D48" s="19">
        <v>2.4240179999999998</v>
      </c>
    </row>
    <row r="49" spans="1:4">
      <c r="A49">
        <v>0</v>
      </c>
      <c r="B49" t="s">
        <v>158</v>
      </c>
      <c r="C49" t="s">
        <v>207</v>
      </c>
      <c r="D49" s="19">
        <v>2.4346769999999998</v>
      </c>
    </row>
    <row r="50" spans="1:4">
      <c r="A50">
        <v>0</v>
      </c>
      <c r="B50" t="s">
        <v>159</v>
      </c>
      <c r="C50" t="s">
        <v>208</v>
      </c>
      <c r="D50" s="19">
        <v>1.9123859999999997</v>
      </c>
    </row>
    <row r="51" spans="1:4">
      <c r="A51">
        <v>0</v>
      </c>
      <c r="B51" t="s">
        <v>159</v>
      </c>
      <c r="C51" t="s">
        <v>208</v>
      </c>
      <c r="D51" s="19">
        <v>1.7205239999999999</v>
      </c>
    </row>
    <row r="52" spans="1:4">
      <c r="A52">
        <v>0</v>
      </c>
      <c r="B52" t="s">
        <v>159</v>
      </c>
      <c r="C52" t="s">
        <v>208</v>
      </c>
      <c r="D52" s="19">
        <v>1.8590909999999998</v>
      </c>
    </row>
    <row r="53" spans="1:4">
      <c r="A53">
        <v>0</v>
      </c>
      <c r="B53" t="s">
        <v>159</v>
      </c>
      <c r="C53" t="s">
        <v>209</v>
      </c>
      <c r="D53" s="19">
        <v>2.0296349999999999</v>
      </c>
    </row>
    <row r="54" spans="1:4">
      <c r="A54">
        <v>0</v>
      </c>
      <c r="B54" t="s">
        <v>159</v>
      </c>
      <c r="C54" t="s">
        <v>209</v>
      </c>
      <c r="D54" s="19">
        <v>2.0722709999999998</v>
      </c>
    </row>
    <row r="55" spans="1:4">
      <c r="A55">
        <v>0</v>
      </c>
      <c r="B55" t="s">
        <v>159</v>
      </c>
      <c r="C55" t="s">
        <v>209</v>
      </c>
      <c r="D55" s="19">
        <v>2.1149070000000001</v>
      </c>
    </row>
    <row r="56" spans="1:4">
      <c r="A56">
        <v>0</v>
      </c>
      <c r="B56" t="s">
        <v>159</v>
      </c>
      <c r="C56" t="s">
        <v>210</v>
      </c>
      <c r="D56" s="19">
        <v>2.2321559999999998</v>
      </c>
    </row>
    <row r="57" spans="1:4">
      <c r="A57">
        <v>0</v>
      </c>
      <c r="B57" t="s">
        <v>159</v>
      </c>
      <c r="C57" t="s">
        <v>210</v>
      </c>
      <c r="D57" s="19">
        <v>2.1895200000000004</v>
      </c>
    </row>
    <row r="58" spans="1:4">
      <c r="A58">
        <v>0</v>
      </c>
      <c r="B58" t="s">
        <v>159</v>
      </c>
      <c r="C58" t="s">
        <v>210</v>
      </c>
      <c r="D58" s="19">
        <v>2.2854510000000006</v>
      </c>
    </row>
    <row r="59" spans="1:4">
      <c r="A59">
        <v>0</v>
      </c>
      <c r="B59" t="s">
        <v>159</v>
      </c>
      <c r="C59" t="s">
        <v>211</v>
      </c>
      <c r="D59" s="19">
        <v>2.4346769999999998</v>
      </c>
    </row>
    <row r="60" spans="1:4">
      <c r="A60">
        <v>0</v>
      </c>
      <c r="B60" t="s">
        <v>159</v>
      </c>
      <c r="C60" t="s">
        <v>211</v>
      </c>
      <c r="D60" s="19">
        <v>2.4346769999999998</v>
      </c>
    </row>
    <row r="61" spans="1:4">
      <c r="A61">
        <v>0</v>
      </c>
      <c r="B61" t="s">
        <v>159</v>
      </c>
      <c r="C61" t="s">
        <v>211</v>
      </c>
      <c r="D61" s="19">
        <v>2.4453360000000002</v>
      </c>
    </row>
    <row r="62" spans="1:4">
      <c r="A62">
        <v>0</v>
      </c>
      <c r="B62" t="s">
        <v>160</v>
      </c>
      <c r="C62" t="s">
        <v>212</v>
      </c>
      <c r="D62" s="19">
        <v>1.9230449999999999</v>
      </c>
    </row>
    <row r="63" spans="1:4">
      <c r="A63">
        <v>0</v>
      </c>
      <c r="B63" t="s">
        <v>160</v>
      </c>
      <c r="C63" t="s">
        <v>212</v>
      </c>
      <c r="D63" s="19">
        <v>2.0296349999999999</v>
      </c>
    </row>
    <row r="64" spans="1:4">
      <c r="A64">
        <v>0</v>
      </c>
      <c r="B64" t="s">
        <v>160</v>
      </c>
      <c r="C64" t="s">
        <v>212</v>
      </c>
      <c r="D64" s="19">
        <v>2.0083169999999999</v>
      </c>
    </row>
    <row r="65" spans="1:4">
      <c r="A65">
        <v>0</v>
      </c>
      <c r="B65" t="s">
        <v>160</v>
      </c>
      <c r="C65" t="s">
        <v>213</v>
      </c>
      <c r="D65" s="19">
        <v>2.146884</v>
      </c>
    </row>
    <row r="66" spans="1:4">
      <c r="A66">
        <v>0</v>
      </c>
      <c r="B66" t="s">
        <v>160</v>
      </c>
      <c r="C66" t="s">
        <v>213</v>
      </c>
      <c r="D66" s="19">
        <v>2.1788609999999999</v>
      </c>
    </row>
    <row r="67" spans="1:4">
      <c r="A67">
        <v>0</v>
      </c>
      <c r="B67" t="s">
        <v>160</v>
      </c>
      <c r="C67" t="s">
        <v>213</v>
      </c>
      <c r="D67" s="19">
        <v>2.1362250000000005</v>
      </c>
    </row>
    <row r="68" spans="1:4">
      <c r="A68">
        <v>0</v>
      </c>
      <c r="B68" t="s">
        <v>160</v>
      </c>
      <c r="C68" t="s">
        <v>214</v>
      </c>
      <c r="D68" s="19">
        <v>2.2321559999999998</v>
      </c>
    </row>
    <row r="69" spans="1:4">
      <c r="A69">
        <v>0</v>
      </c>
      <c r="B69" t="s">
        <v>160</v>
      </c>
      <c r="C69" t="s">
        <v>214</v>
      </c>
      <c r="D69" s="19">
        <v>2.2108380000000003</v>
      </c>
    </row>
    <row r="70" spans="1:4">
      <c r="A70">
        <v>0</v>
      </c>
      <c r="B70" t="s">
        <v>160</v>
      </c>
      <c r="C70" t="s">
        <v>214</v>
      </c>
      <c r="D70" s="19">
        <v>2.2428150000000002</v>
      </c>
    </row>
    <row r="71" spans="1:4">
      <c r="A71">
        <v>0</v>
      </c>
      <c r="B71" t="s">
        <v>160</v>
      </c>
      <c r="C71" t="s">
        <v>215</v>
      </c>
      <c r="D71" s="19">
        <v>2.4666539999999997</v>
      </c>
    </row>
    <row r="72" spans="1:4">
      <c r="A72">
        <v>0</v>
      </c>
      <c r="B72" t="s">
        <v>160</v>
      </c>
      <c r="C72" t="s">
        <v>215</v>
      </c>
      <c r="D72" s="19">
        <v>2.4453360000000002</v>
      </c>
    </row>
    <row r="73" spans="1:4">
      <c r="A73">
        <v>0</v>
      </c>
      <c r="B73" t="s">
        <v>160</v>
      </c>
      <c r="C73" t="s">
        <v>215</v>
      </c>
      <c r="D73" s="19">
        <v>2.4666539999999997</v>
      </c>
    </row>
    <row r="74" spans="1:4">
      <c r="A74">
        <v>10</v>
      </c>
      <c r="B74" t="s">
        <v>158</v>
      </c>
      <c r="C74" t="s">
        <v>204</v>
      </c>
      <c r="D74" s="19">
        <v>1.9017270000000002</v>
      </c>
    </row>
    <row r="75" spans="1:4">
      <c r="A75">
        <v>10</v>
      </c>
      <c r="B75" t="s">
        <v>158</v>
      </c>
      <c r="C75" t="s">
        <v>204</v>
      </c>
      <c r="D75" s="19">
        <v>1.6992059999999998</v>
      </c>
    </row>
    <row r="76" spans="1:4">
      <c r="A76">
        <v>10</v>
      </c>
      <c r="B76" t="s">
        <v>158</v>
      </c>
      <c r="C76" t="s">
        <v>204</v>
      </c>
      <c r="D76" s="19">
        <v>1.8484319999999999</v>
      </c>
    </row>
    <row r="77" spans="1:4">
      <c r="A77">
        <v>10</v>
      </c>
      <c r="B77" t="s">
        <v>158</v>
      </c>
      <c r="C77" t="s">
        <v>205</v>
      </c>
      <c r="D77" s="19">
        <v>2.1895200000000004</v>
      </c>
    </row>
    <row r="78" spans="1:4">
      <c r="A78">
        <v>10</v>
      </c>
      <c r="B78" t="s">
        <v>158</v>
      </c>
      <c r="C78" t="s">
        <v>205</v>
      </c>
      <c r="D78" s="19">
        <v>2.1788609999999999</v>
      </c>
    </row>
    <row r="79" spans="1:4">
      <c r="A79">
        <v>10</v>
      </c>
      <c r="B79" t="s">
        <v>158</v>
      </c>
      <c r="C79" t="s">
        <v>205</v>
      </c>
      <c r="D79" s="19">
        <v>2.2108380000000003</v>
      </c>
    </row>
    <row r="80" spans="1:4">
      <c r="A80">
        <v>10</v>
      </c>
      <c r="B80" t="s">
        <v>158</v>
      </c>
      <c r="C80" t="s">
        <v>206</v>
      </c>
      <c r="D80" s="19">
        <v>2.6371979999999997</v>
      </c>
    </row>
    <row r="81" spans="1:4">
      <c r="A81">
        <v>10</v>
      </c>
      <c r="B81" t="s">
        <v>158</v>
      </c>
      <c r="C81" t="s">
        <v>206</v>
      </c>
      <c r="D81" s="19">
        <v>2.6265389999999997</v>
      </c>
    </row>
    <row r="82" spans="1:4">
      <c r="A82">
        <v>10</v>
      </c>
      <c r="B82" t="s">
        <v>158</v>
      </c>
      <c r="C82" t="s">
        <v>206</v>
      </c>
      <c r="D82" s="19">
        <v>2.6478570000000001</v>
      </c>
    </row>
    <row r="83" spans="1:4">
      <c r="A83">
        <v>10</v>
      </c>
      <c r="B83" t="s">
        <v>158</v>
      </c>
      <c r="C83" t="s">
        <v>207</v>
      </c>
      <c r="D83" s="19">
        <v>2.5519259999999999</v>
      </c>
    </row>
    <row r="84" spans="1:4">
      <c r="A84">
        <v>10</v>
      </c>
      <c r="B84" t="s">
        <v>158</v>
      </c>
      <c r="C84" t="s">
        <v>207</v>
      </c>
      <c r="D84" s="19">
        <v>2.5839029999999998</v>
      </c>
    </row>
    <row r="85" spans="1:4">
      <c r="A85">
        <v>10</v>
      </c>
      <c r="B85" t="s">
        <v>158</v>
      </c>
      <c r="C85" t="s">
        <v>207</v>
      </c>
      <c r="D85" s="19">
        <v>2.6052210000000002</v>
      </c>
    </row>
    <row r="86" spans="1:4">
      <c r="A86">
        <v>10</v>
      </c>
      <c r="B86" t="s">
        <v>159</v>
      </c>
      <c r="C86" t="s">
        <v>208</v>
      </c>
      <c r="D86" s="19">
        <v>1.9123859999999997</v>
      </c>
    </row>
    <row r="87" spans="1:4">
      <c r="A87">
        <v>10</v>
      </c>
      <c r="B87" t="s">
        <v>159</v>
      </c>
      <c r="C87" t="s">
        <v>208</v>
      </c>
      <c r="D87" s="19">
        <v>1.7205239999999999</v>
      </c>
    </row>
    <row r="88" spans="1:4">
      <c r="A88">
        <v>10</v>
      </c>
      <c r="B88" t="s">
        <v>159</v>
      </c>
      <c r="C88" t="s">
        <v>208</v>
      </c>
      <c r="D88" s="19">
        <v>1.8590909999999998</v>
      </c>
    </row>
    <row r="89" spans="1:4">
      <c r="A89">
        <v>10</v>
      </c>
      <c r="B89" t="s">
        <v>159</v>
      </c>
      <c r="C89" t="s">
        <v>209</v>
      </c>
      <c r="D89" s="19">
        <v>2.2001790000000003</v>
      </c>
    </row>
    <row r="90" spans="1:4">
      <c r="A90">
        <v>10</v>
      </c>
      <c r="B90" t="s">
        <v>159</v>
      </c>
      <c r="C90" t="s">
        <v>209</v>
      </c>
      <c r="D90" s="19">
        <v>2.2428150000000002</v>
      </c>
    </row>
    <row r="91" spans="1:4">
      <c r="A91">
        <v>10</v>
      </c>
      <c r="B91" t="s">
        <v>159</v>
      </c>
      <c r="C91" t="s">
        <v>209</v>
      </c>
      <c r="D91" s="19">
        <v>2.2321559999999998</v>
      </c>
    </row>
    <row r="92" spans="1:4">
      <c r="A92">
        <v>10</v>
      </c>
      <c r="B92" t="s">
        <v>159</v>
      </c>
      <c r="C92" t="s">
        <v>210</v>
      </c>
      <c r="D92" s="19">
        <v>2.6478570000000001</v>
      </c>
    </row>
    <row r="93" spans="1:4">
      <c r="A93">
        <v>10</v>
      </c>
      <c r="B93" t="s">
        <v>159</v>
      </c>
      <c r="C93" t="s">
        <v>210</v>
      </c>
      <c r="D93" s="19">
        <v>2.6478570000000001</v>
      </c>
    </row>
    <row r="94" spans="1:4">
      <c r="A94">
        <v>10</v>
      </c>
      <c r="B94" t="s">
        <v>159</v>
      </c>
      <c r="C94" t="s">
        <v>210</v>
      </c>
      <c r="D94" s="19">
        <v>2.6478570000000001</v>
      </c>
    </row>
    <row r="95" spans="1:4">
      <c r="A95">
        <v>10</v>
      </c>
      <c r="B95" t="s">
        <v>159</v>
      </c>
      <c r="C95" t="s">
        <v>211</v>
      </c>
      <c r="D95" s="19">
        <v>2.5732439999999999</v>
      </c>
    </row>
    <row r="96" spans="1:4">
      <c r="A96">
        <v>10</v>
      </c>
      <c r="B96" t="s">
        <v>159</v>
      </c>
      <c r="C96" t="s">
        <v>211</v>
      </c>
      <c r="D96" s="19">
        <v>2.5945620000000003</v>
      </c>
    </row>
    <row r="97" spans="1:4">
      <c r="A97">
        <v>10</v>
      </c>
      <c r="B97" t="s">
        <v>159</v>
      </c>
      <c r="C97" t="s">
        <v>211</v>
      </c>
      <c r="D97" s="19">
        <v>2.6158799999999998</v>
      </c>
    </row>
    <row r="98" spans="1:4">
      <c r="A98">
        <v>10</v>
      </c>
      <c r="B98" t="s">
        <v>160</v>
      </c>
      <c r="C98" t="s">
        <v>212</v>
      </c>
      <c r="D98" s="19">
        <v>1.9230449999999999</v>
      </c>
    </row>
    <row r="99" spans="1:4">
      <c r="A99">
        <v>10</v>
      </c>
      <c r="B99" t="s">
        <v>160</v>
      </c>
      <c r="C99" t="s">
        <v>212</v>
      </c>
      <c r="D99" s="19">
        <v>2.0296349999999999</v>
      </c>
    </row>
    <row r="100" spans="1:4">
      <c r="A100">
        <v>10</v>
      </c>
      <c r="B100" t="s">
        <v>160</v>
      </c>
      <c r="C100" t="s">
        <v>212</v>
      </c>
      <c r="D100" s="19">
        <v>2.0083169999999999</v>
      </c>
    </row>
    <row r="101" spans="1:4">
      <c r="A101">
        <v>10</v>
      </c>
      <c r="B101" t="s">
        <v>160</v>
      </c>
      <c r="C101" t="s">
        <v>213</v>
      </c>
      <c r="D101" s="19">
        <v>2.2214970000000003</v>
      </c>
    </row>
    <row r="102" spans="1:4">
      <c r="A102">
        <v>10</v>
      </c>
      <c r="B102" t="s">
        <v>160</v>
      </c>
      <c r="C102" t="s">
        <v>213</v>
      </c>
      <c r="D102" s="19">
        <v>2.2534740000000002</v>
      </c>
    </row>
    <row r="103" spans="1:4">
      <c r="A103">
        <v>10</v>
      </c>
      <c r="B103" t="s">
        <v>160</v>
      </c>
      <c r="C103" t="s">
        <v>213</v>
      </c>
      <c r="D103" s="19">
        <v>2.2534739999999998</v>
      </c>
    </row>
    <row r="104" spans="1:4">
      <c r="A104">
        <v>10</v>
      </c>
      <c r="B104" t="s">
        <v>160</v>
      </c>
      <c r="C104" t="s">
        <v>214</v>
      </c>
      <c r="D104" s="19">
        <v>2.6478570000000001</v>
      </c>
    </row>
    <row r="105" spans="1:4">
      <c r="A105">
        <v>10</v>
      </c>
      <c r="B105" t="s">
        <v>160</v>
      </c>
      <c r="C105" t="s">
        <v>214</v>
      </c>
      <c r="D105" s="19">
        <v>2.6478570000000001</v>
      </c>
    </row>
    <row r="106" spans="1:4">
      <c r="A106">
        <v>10</v>
      </c>
      <c r="B106" t="s">
        <v>160</v>
      </c>
      <c r="C106" t="s">
        <v>214</v>
      </c>
      <c r="D106" s="19">
        <v>2.679834</v>
      </c>
    </row>
    <row r="107" spans="1:4">
      <c r="A107">
        <v>10</v>
      </c>
      <c r="B107" t="s">
        <v>160</v>
      </c>
      <c r="C107" t="s">
        <v>215</v>
      </c>
      <c r="D107" s="19">
        <v>2.5839029999999998</v>
      </c>
    </row>
    <row r="108" spans="1:4">
      <c r="A108">
        <v>10</v>
      </c>
      <c r="B108" t="s">
        <v>160</v>
      </c>
      <c r="C108" t="s">
        <v>215</v>
      </c>
      <c r="D108" s="19">
        <v>2.5945620000000003</v>
      </c>
    </row>
    <row r="109" spans="1:4">
      <c r="A109">
        <v>10</v>
      </c>
      <c r="B109" t="s">
        <v>160</v>
      </c>
      <c r="C109" t="s">
        <v>215</v>
      </c>
      <c r="D109" s="19">
        <v>2.6265389999999997</v>
      </c>
    </row>
    <row r="110" spans="1:4">
      <c r="A110">
        <v>25</v>
      </c>
      <c r="B110" t="s">
        <v>158</v>
      </c>
      <c r="C110" t="s">
        <v>204</v>
      </c>
      <c r="D110" s="19">
        <v>1.9017270000000002</v>
      </c>
    </row>
    <row r="111" spans="1:4">
      <c r="A111">
        <v>25</v>
      </c>
      <c r="B111" t="s">
        <v>158</v>
      </c>
      <c r="C111" t="s">
        <v>204</v>
      </c>
      <c r="D111" s="19">
        <v>1.6992059999999998</v>
      </c>
    </row>
    <row r="112" spans="1:4">
      <c r="A112">
        <v>25</v>
      </c>
      <c r="B112" t="s">
        <v>158</v>
      </c>
      <c r="C112" t="s">
        <v>204</v>
      </c>
      <c r="D112" s="19">
        <v>1.8484319999999999</v>
      </c>
    </row>
    <row r="113" spans="1:4">
      <c r="A113">
        <v>25</v>
      </c>
      <c r="B113" t="s">
        <v>158</v>
      </c>
      <c r="C113" t="s">
        <v>205</v>
      </c>
      <c r="D113" s="19">
        <v>2.3813819999999994</v>
      </c>
    </row>
    <row r="114" spans="1:4">
      <c r="A114">
        <v>25</v>
      </c>
      <c r="B114" t="s">
        <v>158</v>
      </c>
      <c r="C114" t="s">
        <v>205</v>
      </c>
      <c r="D114" s="19">
        <v>2.4346769999999998</v>
      </c>
    </row>
    <row r="115" spans="1:4">
      <c r="A115">
        <v>25</v>
      </c>
      <c r="B115" t="s">
        <v>158</v>
      </c>
      <c r="C115" t="s">
        <v>205</v>
      </c>
      <c r="D115" s="19">
        <v>2.4240179999999998</v>
      </c>
    </row>
    <row r="116" spans="1:4">
      <c r="A116">
        <v>25</v>
      </c>
      <c r="B116" t="s">
        <v>158</v>
      </c>
      <c r="C116" t="s">
        <v>206</v>
      </c>
      <c r="D116" s="19">
        <v>2.701152</v>
      </c>
    </row>
    <row r="117" spans="1:4">
      <c r="A117">
        <v>25</v>
      </c>
      <c r="B117" t="s">
        <v>158</v>
      </c>
      <c r="C117" t="s">
        <v>206</v>
      </c>
      <c r="D117" s="19">
        <v>2.6904930000000005</v>
      </c>
    </row>
    <row r="118" spans="1:4">
      <c r="A118">
        <v>25</v>
      </c>
      <c r="B118" t="s">
        <v>158</v>
      </c>
      <c r="C118" t="s">
        <v>206</v>
      </c>
      <c r="D118" s="19">
        <v>2.7437880000000003</v>
      </c>
    </row>
    <row r="119" spans="1:4">
      <c r="A119">
        <v>25</v>
      </c>
      <c r="B119" t="s">
        <v>158</v>
      </c>
      <c r="C119" t="s">
        <v>207</v>
      </c>
      <c r="D119" s="19">
        <v>2.6904930000000005</v>
      </c>
    </row>
    <row r="120" spans="1:4">
      <c r="A120">
        <v>25</v>
      </c>
      <c r="B120" t="s">
        <v>158</v>
      </c>
      <c r="C120" t="s">
        <v>207</v>
      </c>
      <c r="D120" s="19">
        <v>3.0209219999999997</v>
      </c>
    </row>
    <row r="121" spans="1:4">
      <c r="A121">
        <v>25</v>
      </c>
      <c r="B121" t="s">
        <v>158</v>
      </c>
      <c r="C121" t="s">
        <v>207</v>
      </c>
      <c r="D121" s="19">
        <v>2.9889450000000006</v>
      </c>
    </row>
    <row r="122" spans="1:4">
      <c r="A122">
        <v>25</v>
      </c>
      <c r="B122" t="s">
        <v>159</v>
      </c>
      <c r="C122" t="s">
        <v>208</v>
      </c>
      <c r="D122" s="19">
        <v>1.9123859999999997</v>
      </c>
    </row>
    <row r="123" spans="1:4">
      <c r="A123">
        <v>25</v>
      </c>
      <c r="B123" t="s">
        <v>159</v>
      </c>
      <c r="C123" t="s">
        <v>208</v>
      </c>
      <c r="D123" s="19">
        <v>1.7205239999999999</v>
      </c>
    </row>
    <row r="124" spans="1:4">
      <c r="A124">
        <v>25</v>
      </c>
      <c r="B124" t="s">
        <v>159</v>
      </c>
      <c r="C124" t="s">
        <v>208</v>
      </c>
      <c r="D124" s="19">
        <v>1.8590909999999998</v>
      </c>
    </row>
    <row r="125" spans="1:4">
      <c r="A125">
        <v>25</v>
      </c>
      <c r="B125" t="s">
        <v>159</v>
      </c>
      <c r="C125" t="s">
        <v>209</v>
      </c>
      <c r="D125" s="19">
        <v>2.3920409999999994</v>
      </c>
    </row>
    <row r="126" spans="1:4">
      <c r="A126">
        <v>25</v>
      </c>
      <c r="B126" t="s">
        <v>159</v>
      </c>
      <c r="C126" t="s">
        <v>209</v>
      </c>
      <c r="D126" s="19">
        <v>2.4026999999999998</v>
      </c>
    </row>
    <row r="127" spans="1:4">
      <c r="A127">
        <v>25</v>
      </c>
      <c r="B127" t="s">
        <v>159</v>
      </c>
      <c r="C127" t="s">
        <v>209</v>
      </c>
      <c r="D127" s="19">
        <v>2.4133589999999998</v>
      </c>
    </row>
    <row r="128" spans="1:4">
      <c r="A128">
        <v>25</v>
      </c>
      <c r="B128" t="s">
        <v>159</v>
      </c>
      <c r="C128" t="s">
        <v>210</v>
      </c>
      <c r="D128" s="19">
        <v>2.7651060000000003</v>
      </c>
    </row>
    <row r="129" spans="1:4">
      <c r="A129">
        <v>25</v>
      </c>
      <c r="B129" t="s">
        <v>159</v>
      </c>
      <c r="C129" t="s">
        <v>210</v>
      </c>
      <c r="D129" s="19">
        <v>2.7224699999999999</v>
      </c>
    </row>
    <row r="130" spans="1:4">
      <c r="A130">
        <v>25</v>
      </c>
      <c r="B130" t="s">
        <v>159</v>
      </c>
      <c r="C130" t="s">
        <v>210</v>
      </c>
      <c r="D130" s="19">
        <v>2.7651060000000003</v>
      </c>
    </row>
    <row r="131" spans="1:4">
      <c r="A131">
        <v>25</v>
      </c>
      <c r="B131" t="s">
        <v>159</v>
      </c>
      <c r="C131" t="s">
        <v>211</v>
      </c>
      <c r="D131" s="19">
        <v>3.1701479999999997</v>
      </c>
    </row>
    <row r="132" spans="1:4">
      <c r="A132">
        <v>25</v>
      </c>
      <c r="B132" t="s">
        <v>159</v>
      </c>
      <c r="C132" t="s">
        <v>211</v>
      </c>
      <c r="D132" s="19">
        <v>2.9996040000000002</v>
      </c>
    </row>
    <row r="133" spans="1:4">
      <c r="A133">
        <v>25</v>
      </c>
      <c r="B133" t="s">
        <v>159</v>
      </c>
      <c r="C133" t="s">
        <v>211</v>
      </c>
      <c r="D133" s="19">
        <v>3.1381709999999998</v>
      </c>
    </row>
    <row r="134" spans="1:4">
      <c r="A134">
        <v>25</v>
      </c>
      <c r="B134" t="s">
        <v>160</v>
      </c>
      <c r="C134" t="s">
        <v>212</v>
      </c>
      <c r="D134" s="19">
        <v>1.9230449999999999</v>
      </c>
    </row>
    <row r="135" spans="1:4">
      <c r="A135">
        <v>25</v>
      </c>
      <c r="B135" t="s">
        <v>160</v>
      </c>
      <c r="C135" t="s">
        <v>212</v>
      </c>
      <c r="D135" s="19">
        <v>2.0296349999999999</v>
      </c>
    </row>
    <row r="136" spans="1:4">
      <c r="A136">
        <v>25</v>
      </c>
      <c r="B136" t="s">
        <v>160</v>
      </c>
      <c r="C136" t="s">
        <v>212</v>
      </c>
      <c r="D136" s="19">
        <v>2.0083169999999999</v>
      </c>
    </row>
    <row r="137" spans="1:4">
      <c r="A137">
        <v>25</v>
      </c>
      <c r="B137" t="s">
        <v>160</v>
      </c>
      <c r="C137" t="s">
        <v>213</v>
      </c>
      <c r="D137" s="19">
        <v>2.3920409999999994</v>
      </c>
    </row>
    <row r="138" spans="1:4">
      <c r="A138">
        <v>25</v>
      </c>
      <c r="B138" t="s">
        <v>160</v>
      </c>
      <c r="C138" t="s">
        <v>213</v>
      </c>
      <c r="D138" s="19">
        <v>2.4346769999999998</v>
      </c>
    </row>
    <row r="139" spans="1:4">
      <c r="A139">
        <v>25</v>
      </c>
      <c r="B139" t="s">
        <v>160</v>
      </c>
      <c r="C139" t="s">
        <v>213</v>
      </c>
      <c r="D139" s="19">
        <v>2.3813819999999994</v>
      </c>
    </row>
    <row r="140" spans="1:4">
      <c r="A140">
        <v>25</v>
      </c>
      <c r="B140" t="s">
        <v>160</v>
      </c>
      <c r="C140" t="s">
        <v>214</v>
      </c>
      <c r="D140" s="19">
        <v>2.7757649999999998</v>
      </c>
    </row>
    <row r="141" spans="1:4">
      <c r="A141">
        <v>25</v>
      </c>
      <c r="B141" t="s">
        <v>160</v>
      </c>
      <c r="C141" t="s">
        <v>214</v>
      </c>
      <c r="D141" s="19">
        <v>2.7651060000000003</v>
      </c>
    </row>
    <row r="142" spans="1:4">
      <c r="A142">
        <v>25</v>
      </c>
      <c r="B142" t="s">
        <v>160</v>
      </c>
      <c r="C142" t="s">
        <v>214</v>
      </c>
      <c r="D142" s="19">
        <v>2.7864239999999998</v>
      </c>
    </row>
    <row r="143" spans="1:4">
      <c r="A143">
        <v>25</v>
      </c>
      <c r="B143" t="s">
        <v>160</v>
      </c>
      <c r="C143" t="s">
        <v>215</v>
      </c>
      <c r="D143" s="19">
        <v>3.0102629999999997</v>
      </c>
    </row>
    <row r="144" spans="1:4">
      <c r="A144">
        <v>25</v>
      </c>
      <c r="B144" t="s">
        <v>160</v>
      </c>
      <c r="C144" t="s">
        <v>215</v>
      </c>
      <c r="D144" s="19">
        <v>3.1168529999999999</v>
      </c>
    </row>
    <row r="145" spans="1:4">
      <c r="A145">
        <v>25</v>
      </c>
      <c r="B145" t="s">
        <v>160</v>
      </c>
      <c r="C145" t="s">
        <v>215</v>
      </c>
      <c r="D145" s="19">
        <v>3.063558</v>
      </c>
    </row>
  </sheetData>
  <autoFilter ref="A1:D145" xr:uid="{FD8FEF31-C324-4E57-ABCE-098DCD1B4381}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3:AA93"/>
  <sheetViews>
    <sheetView workbookViewId="0">
      <selection activeCell="O6" sqref="O6"/>
    </sheetView>
  </sheetViews>
  <sheetFormatPr defaultRowHeight="13.8"/>
  <cols>
    <col min="1" max="1" width="8.88671875" style="1"/>
    <col min="2" max="2" width="12" style="1" customWidth="1"/>
    <col min="3" max="3" width="8.88671875" style="1"/>
    <col min="4" max="4" width="10.6640625" style="1" customWidth="1"/>
    <col min="5" max="16384" width="8.88671875" style="1"/>
  </cols>
  <sheetData>
    <row r="3" spans="1:27">
      <c r="A3" s="1" t="e">
        <f>_xlfn.CONCAT(#REF!)</f>
        <v>#REF!</v>
      </c>
      <c r="E3"/>
      <c r="F3"/>
      <c r="G3"/>
      <c r="H3"/>
      <c r="I3"/>
      <c r="J3"/>
    </row>
    <row r="4" spans="1:27">
      <c r="A4" s="1" t="e">
        <f>_xlfn.CONCAT(#REF!)</f>
        <v>#REF!</v>
      </c>
      <c r="E4"/>
      <c r="F4"/>
      <c r="G4"/>
      <c r="H4"/>
      <c r="I4"/>
      <c r="J4"/>
    </row>
    <row r="5" spans="1:27">
      <c r="A5" s="1" t="e">
        <f>_xlfn.CONCAT(#REF!)</f>
        <v>#REF!</v>
      </c>
      <c r="D5" s="20"/>
      <c r="E5" s="20" t="s">
        <v>82</v>
      </c>
      <c r="F5" s="19" t="s">
        <v>78</v>
      </c>
      <c r="G5" s="19" t="s">
        <v>78</v>
      </c>
      <c r="H5" t="s">
        <v>78</v>
      </c>
      <c r="I5" t="s">
        <v>78</v>
      </c>
      <c r="J5" t="s">
        <v>78</v>
      </c>
      <c r="K5" s="1" t="s">
        <v>78</v>
      </c>
      <c r="L5" s="1" t="s">
        <v>78</v>
      </c>
      <c r="M5" s="1" t="s">
        <v>78</v>
      </c>
    </row>
    <row r="6" spans="1:27">
      <c r="A6" s="1" t="e">
        <f>_xlfn.CONCAT(#REF!)</f>
        <v>#REF!</v>
      </c>
      <c r="D6" s="20" t="s">
        <v>91</v>
      </c>
      <c r="E6" s="20" t="s">
        <v>112</v>
      </c>
      <c r="F6" s="19" t="s">
        <v>79</v>
      </c>
      <c r="G6" s="19" t="s">
        <v>80</v>
      </c>
      <c r="H6"/>
      <c r="I6"/>
      <c r="J6"/>
      <c r="K6"/>
      <c r="L6"/>
      <c r="M6"/>
      <c r="O6" s="1" t="str">
        <f>CONCATENATE(F6,G6,H6,I6,J6,K6,L6,M6)</f>
        <v>AB</v>
      </c>
    </row>
    <row r="7" spans="1:27">
      <c r="A7" s="1" t="e">
        <f>_xlfn.CONCAT(#REF!)</f>
        <v>#REF!</v>
      </c>
      <c r="D7" s="20" t="s">
        <v>92</v>
      </c>
      <c r="E7" s="20" t="s">
        <v>117</v>
      </c>
      <c r="F7" s="19"/>
      <c r="G7" s="19"/>
      <c r="H7"/>
      <c r="I7" t="s">
        <v>83</v>
      </c>
      <c r="J7" t="s">
        <v>84</v>
      </c>
      <c r="K7" t="s">
        <v>85</v>
      </c>
      <c r="L7"/>
      <c r="M7"/>
      <c r="N7"/>
      <c r="O7" s="1" t="str">
        <f t="shared" ref="O7:O15" si="0">CONCATENATE(F7,G7,H7,I7,J7,K7,L7,M7)</f>
        <v>DEF</v>
      </c>
      <c r="P7"/>
      <c r="Q7"/>
      <c r="R7"/>
      <c r="S7"/>
      <c r="T7"/>
      <c r="U7"/>
      <c r="V7"/>
      <c r="W7"/>
      <c r="X7"/>
      <c r="Y7"/>
      <c r="Z7"/>
      <c r="AA7"/>
    </row>
    <row r="8" spans="1:27">
      <c r="A8" s="1" t="e">
        <f>_xlfn.CONCAT(#REF!)</f>
        <v>#REF!</v>
      </c>
      <c r="D8" s="20" t="s">
        <v>93</v>
      </c>
      <c r="E8" s="20" t="s">
        <v>118</v>
      </c>
      <c r="F8" s="19"/>
      <c r="G8" s="19"/>
      <c r="H8"/>
      <c r="I8"/>
      <c r="J8" t="s">
        <v>84</v>
      </c>
      <c r="K8" t="s">
        <v>85</v>
      </c>
      <c r="L8"/>
      <c r="M8"/>
      <c r="N8"/>
      <c r="O8" s="1" t="str">
        <f t="shared" si="0"/>
        <v>EF</v>
      </c>
      <c r="P8"/>
      <c r="Q8"/>
      <c r="R8"/>
      <c r="S8"/>
      <c r="T8"/>
      <c r="U8"/>
      <c r="V8"/>
      <c r="W8"/>
      <c r="X8"/>
      <c r="Y8"/>
      <c r="Z8"/>
      <c r="AA8"/>
    </row>
    <row r="9" spans="1:27" ht="13.8" customHeight="1">
      <c r="A9" s="1" t="e">
        <f>_xlfn.CONCAT(#REF!)</f>
        <v>#REF!</v>
      </c>
      <c r="D9" s="20" t="s">
        <v>94</v>
      </c>
      <c r="E9" s="20" t="s">
        <v>119</v>
      </c>
      <c r="F9" s="19"/>
      <c r="G9" s="19"/>
      <c r="H9"/>
      <c r="I9"/>
      <c r="J9"/>
      <c r="K9" t="s">
        <v>85</v>
      </c>
      <c r="L9"/>
      <c r="M9"/>
      <c r="N9"/>
      <c r="O9" s="1" t="str">
        <f t="shared" si="0"/>
        <v>F</v>
      </c>
      <c r="P9"/>
      <c r="Q9"/>
      <c r="R9"/>
      <c r="S9"/>
      <c r="T9"/>
      <c r="U9"/>
      <c r="V9"/>
      <c r="W9"/>
      <c r="X9"/>
      <c r="Y9"/>
      <c r="Z9"/>
      <c r="AA9"/>
    </row>
    <row r="10" spans="1:27" ht="13.8" customHeight="1">
      <c r="A10" s="1" t="e">
        <f>_xlfn.CONCAT(#REF!)</f>
        <v>#REF!</v>
      </c>
      <c r="D10" s="20" t="s">
        <v>95</v>
      </c>
      <c r="E10" s="20" t="s">
        <v>120</v>
      </c>
      <c r="F10" s="19"/>
      <c r="G10" s="19"/>
      <c r="H10"/>
      <c r="I10"/>
      <c r="J10"/>
      <c r="K10" t="s">
        <v>85</v>
      </c>
      <c r="L10"/>
      <c r="M10"/>
      <c r="N10"/>
      <c r="O10" s="1" t="str">
        <f t="shared" si="0"/>
        <v>F</v>
      </c>
      <c r="P10"/>
      <c r="Q10"/>
      <c r="R10"/>
      <c r="S10"/>
      <c r="T10"/>
      <c r="U10"/>
      <c r="V10"/>
      <c r="W10"/>
      <c r="X10"/>
      <c r="Y10"/>
      <c r="Z10"/>
      <c r="AA10"/>
    </row>
    <row r="11" spans="1:27">
      <c r="A11" s="1" t="e">
        <f>_xlfn.CONCAT(#REF!)</f>
        <v>#REF!</v>
      </c>
      <c r="D11" s="20" t="s">
        <v>96</v>
      </c>
      <c r="E11" s="20" t="s">
        <v>111</v>
      </c>
      <c r="F11" s="19" t="s">
        <v>79</v>
      </c>
      <c r="G11" s="19"/>
      <c r="H11"/>
      <c r="I11"/>
      <c r="J11"/>
      <c r="K11"/>
      <c r="L11"/>
      <c r="M11"/>
      <c r="N11"/>
      <c r="O11" s="1" t="str">
        <f t="shared" si="0"/>
        <v>A</v>
      </c>
      <c r="P11"/>
      <c r="Q11"/>
      <c r="R11"/>
      <c r="S11"/>
      <c r="T11"/>
      <c r="U11"/>
      <c r="V11"/>
      <c r="W11"/>
      <c r="X11"/>
      <c r="Y11"/>
      <c r="Z11"/>
      <c r="AA11"/>
    </row>
    <row r="12" spans="1:27">
      <c r="A12" s="1" t="e">
        <f>_xlfn.CONCAT(#REF!)</f>
        <v>#REF!</v>
      </c>
      <c r="D12" s="20" t="s">
        <v>97</v>
      </c>
      <c r="E12" s="20" t="s">
        <v>113</v>
      </c>
      <c r="F12" s="19"/>
      <c r="G12" s="19" t="s">
        <v>80</v>
      </c>
      <c r="H12" t="s">
        <v>81</v>
      </c>
      <c r="I12"/>
      <c r="J12"/>
      <c r="K12"/>
      <c r="L12"/>
      <c r="M12"/>
      <c r="N12"/>
      <c r="O12" s="1" t="str">
        <f t="shared" si="0"/>
        <v>BC</v>
      </c>
      <c r="P12"/>
      <c r="Q12"/>
      <c r="R12"/>
      <c r="S12"/>
      <c r="T12"/>
      <c r="U12"/>
      <c r="V12"/>
      <c r="W12"/>
      <c r="X12"/>
      <c r="Y12"/>
      <c r="Z12"/>
      <c r="AA12"/>
    </row>
    <row r="13" spans="1:27">
      <c r="D13" s="20" t="s">
        <v>98</v>
      </c>
      <c r="E13" s="20" t="s">
        <v>114</v>
      </c>
      <c r="F13" s="19"/>
      <c r="G13" s="19" t="s">
        <v>80</v>
      </c>
      <c r="H13" t="s">
        <v>81</v>
      </c>
      <c r="I13"/>
      <c r="J13"/>
      <c r="K13"/>
      <c r="L13"/>
      <c r="M13"/>
      <c r="N13"/>
      <c r="O13" s="1" t="str">
        <f t="shared" si="0"/>
        <v>BC</v>
      </c>
      <c r="P13"/>
      <c r="Q13"/>
      <c r="R13"/>
      <c r="S13"/>
      <c r="T13"/>
      <c r="U13"/>
      <c r="V13"/>
      <c r="W13"/>
      <c r="X13"/>
      <c r="Y13"/>
      <c r="Z13"/>
      <c r="AA13"/>
    </row>
    <row r="14" spans="1:27">
      <c r="D14" s="20" t="s">
        <v>99</v>
      </c>
      <c r="E14" s="20" t="s">
        <v>115</v>
      </c>
      <c r="F14" s="19"/>
      <c r="G14" s="19" t="s">
        <v>80</v>
      </c>
      <c r="H14" t="s">
        <v>81</v>
      </c>
      <c r="I14" t="s">
        <v>83</v>
      </c>
      <c r="J14"/>
      <c r="K14"/>
      <c r="L14"/>
      <c r="M14"/>
      <c r="N14"/>
      <c r="O14" s="1" t="str">
        <f t="shared" si="0"/>
        <v>BCD</v>
      </c>
      <c r="P14"/>
      <c r="Q14"/>
      <c r="R14"/>
      <c r="S14"/>
      <c r="T14"/>
      <c r="U14"/>
      <c r="V14"/>
      <c r="W14"/>
      <c r="X14"/>
      <c r="Y14"/>
      <c r="Z14"/>
      <c r="AA14"/>
    </row>
    <row r="15" spans="1:27">
      <c r="D15" s="20" t="s">
        <v>100</v>
      </c>
      <c r="E15" s="20" t="s">
        <v>116</v>
      </c>
      <c r="F15" s="19"/>
      <c r="G15" s="19"/>
      <c r="H15" t="s">
        <v>81</v>
      </c>
      <c r="I15" t="s">
        <v>83</v>
      </c>
      <c r="J15" t="s">
        <v>84</v>
      </c>
      <c r="K15"/>
      <c r="L15"/>
      <c r="M15"/>
      <c r="N15"/>
      <c r="O15" s="1" t="str">
        <f t="shared" si="0"/>
        <v>CDE</v>
      </c>
      <c r="P15"/>
      <c r="Q15"/>
      <c r="R15"/>
      <c r="S15"/>
      <c r="T15"/>
      <c r="U15"/>
      <c r="V15"/>
      <c r="W15"/>
      <c r="X15"/>
      <c r="Y15"/>
      <c r="Z15"/>
      <c r="AA15"/>
    </row>
    <row r="16" spans="1:27">
      <c r="D16" s="20"/>
      <c r="E16" s="20"/>
      <c r="F16" s="19"/>
      <c r="G16" s="19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2:27">
      <c r="D17" s="20"/>
      <c r="E17" s="20"/>
      <c r="F17" s="19"/>
      <c r="G17" s="19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2:27" ht="13.8" customHeight="1">
      <c r="D18" s="20"/>
      <c r="E18" s="20"/>
      <c r="F18" s="19"/>
      <c r="G18" s="19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2:27" ht="13.8" customHeight="1">
      <c r="D19" s="20"/>
      <c r="E19" s="20"/>
      <c r="F19" s="19"/>
      <c r="G19" s="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2:27">
      <c r="B20" s="16"/>
      <c r="C20" s="14" t="s">
        <v>101</v>
      </c>
      <c r="D20" s="15" t="s">
        <v>77</v>
      </c>
      <c r="E20" s="15" t="s">
        <v>101</v>
      </c>
      <c r="F20" s="15" t="s">
        <v>77</v>
      </c>
      <c r="G20" s="15" t="s">
        <v>101</v>
      </c>
      <c r="H20" s="15" t="s">
        <v>77</v>
      </c>
      <c r="I20" s="15" t="s">
        <v>101</v>
      </c>
      <c r="J20" s="15" t="s">
        <v>77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2:27">
      <c r="B21" s="14" t="s">
        <v>91</v>
      </c>
      <c r="C21" s="17">
        <v>3.29</v>
      </c>
      <c r="D21" s="17">
        <v>0.63</v>
      </c>
      <c r="E21" s="17">
        <v>2.29</v>
      </c>
      <c r="F21" s="17">
        <v>0.41</v>
      </c>
      <c r="G21" s="17">
        <v>5.42</v>
      </c>
      <c r="H21" s="17">
        <v>0.14000000000000001</v>
      </c>
      <c r="I21" s="17">
        <v>21.78</v>
      </c>
      <c r="J21" s="17">
        <v>4.57</v>
      </c>
      <c r="K21" t="s">
        <v>102</v>
      </c>
      <c r="L21" t="s">
        <v>85</v>
      </c>
      <c r="M21" t="s">
        <v>109</v>
      </c>
      <c r="N21" t="s">
        <v>105</v>
      </c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2:27">
      <c r="B22" s="15" t="s">
        <v>92</v>
      </c>
      <c r="C22" s="17">
        <v>2.89</v>
      </c>
      <c r="D22" s="17">
        <v>0.28999999999999998</v>
      </c>
      <c r="E22" s="17">
        <v>5.52</v>
      </c>
      <c r="F22" s="17">
        <v>0.79</v>
      </c>
      <c r="G22" s="17">
        <v>6.12</v>
      </c>
      <c r="H22" s="17">
        <v>0.31</v>
      </c>
      <c r="I22" s="17">
        <v>7.26</v>
      </c>
      <c r="J22" s="17">
        <v>1.23</v>
      </c>
      <c r="K22" t="s">
        <v>103</v>
      </c>
      <c r="L22" t="s">
        <v>107</v>
      </c>
      <c r="M22" t="s">
        <v>102</v>
      </c>
      <c r="N22" t="s">
        <v>121</v>
      </c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2:27" customFormat="1">
      <c r="B23" s="15" t="s">
        <v>93</v>
      </c>
      <c r="C23" s="17">
        <v>4.49</v>
      </c>
      <c r="D23" s="17">
        <v>0.02</v>
      </c>
      <c r="E23" s="17">
        <v>7.62</v>
      </c>
      <c r="F23" s="17">
        <v>0.35</v>
      </c>
      <c r="G23" s="17">
        <v>6.38</v>
      </c>
      <c r="H23" s="17">
        <v>0.68</v>
      </c>
      <c r="I23" s="17">
        <v>4.3499999999999996</v>
      </c>
      <c r="J23" s="17">
        <v>0.4</v>
      </c>
      <c r="K23" t="s">
        <v>104</v>
      </c>
      <c r="L23" t="s">
        <v>81</v>
      </c>
      <c r="M23" t="s">
        <v>110</v>
      </c>
      <c r="N23" t="s">
        <v>108</v>
      </c>
    </row>
    <row r="24" spans="2:27">
      <c r="B24" s="15" t="s">
        <v>94</v>
      </c>
      <c r="C24" s="17">
        <v>5.04</v>
      </c>
      <c r="D24" s="17">
        <v>0.04</v>
      </c>
      <c r="E24" s="17">
        <v>10.65</v>
      </c>
      <c r="F24" s="17">
        <v>0.05</v>
      </c>
      <c r="G24" s="17">
        <v>7.27</v>
      </c>
      <c r="H24" s="17">
        <v>0.54</v>
      </c>
      <c r="I24" s="17">
        <v>3.44</v>
      </c>
      <c r="J24" s="17">
        <v>0.15</v>
      </c>
      <c r="K24" t="s">
        <v>105</v>
      </c>
      <c r="L24" t="s">
        <v>80</v>
      </c>
      <c r="M24" t="s">
        <v>105</v>
      </c>
      <c r="N24" t="s">
        <v>85</v>
      </c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2:27">
      <c r="B25" s="15" t="s">
        <v>95</v>
      </c>
      <c r="C25" s="17">
        <v>5.68</v>
      </c>
      <c r="D25" s="17">
        <v>0.11</v>
      </c>
      <c r="E25" s="17">
        <v>12.78</v>
      </c>
      <c r="F25" s="17">
        <v>0.73</v>
      </c>
      <c r="G25" s="17">
        <v>8.16</v>
      </c>
      <c r="H25" s="17">
        <v>0.56000000000000005</v>
      </c>
      <c r="I25" s="17">
        <v>3.06</v>
      </c>
      <c r="J25" s="17">
        <v>0.16</v>
      </c>
      <c r="K25" t="s">
        <v>79</v>
      </c>
      <c r="L25" t="s">
        <v>79</v>
      </c>
      <c r="M25" t="s">
        <v>79</v>
      </c>
      <c r="N25" t="s">
        <v>85</v>
      </c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2:27">
      <c r="B26" s="15" t="s">
        <v>96</v>
      </c>
      <c r="C26" s="17">
        <v>3</v>
      </c>
      <c r="D26" s="17">
        <v>0.01</v>
      </c>
      <c r="E26" s="17">
        <v>2.34</v>
      </c>
      <c r="F26" s="17">
        <v>0.24</v>
      </c>
      <c r="G26" s="17">
        <v>4.79</v>
      </c>
      <c r="H26" s="17">
        <v>0.25</v>
      </c>
      <c r="I26" s="17">
        <v>28.64</v>
      </c>
      <c r="J26" s="17">
        <v>2.48</v>
      </c>
      <c r="K26" t="s">
        <v>103</v>
      </c>
      <c r="L26" t="s">
        <v>85</v>
      </c>
      <c r="M26" t="s">
        <v>107</v>
      </c>
      <c r="N26" t="s">
        <v>79</v>
      </c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2:27">
      <c r="B27" s="15" t="s">
        <v>97</v>
      </c>
      <c r="C27" s="17">
        <v>3.85</v>
      </c>
      <c r="D27" s="17">
        <v>1.23</v>
      </c>
      <c r="E27" s="17">
        <v>3.75</v>
      </c>
      <c r="F27" s="17">
        <v>0.32</v>
      </c>
      <c r="G27" s="17">
        <v>4.3600000000000003</v>
      </c>
      <c r="H27" s="17">
        <v>0.16</v>
      </c>
      <c r="I27" s="17">
        <v>18.54</v>
      </c>
      <c r="J27" s="17">
        <v>1.29</v>
      </c>
      <c r="K27" t="s">
        <v>106</v>
      </c>
      <c r="L27" t="s">
        <v>108</v>
      </c>
      <c r="M27" t="s">
        <v>84</v>
      </c>
      <c r="N27" t="s">
        <v>110</v>
      </c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2:27">
      <c r="B28" s="15" t="s">
        <v>98</v>
      </c>
      <c r="C28" s="17">
        <v>2.5</v>
      </c>
      <c r="D28" s="17">
        <v>0.32</v>
      </c>
      <c r="E28" s="17">
        <v>4.4800000000000004</v>
      </c>
      <c r="F28" s="17">
        <v>0.02</v>
      </c>
      <c r="G28" s="17">
        <v>4.3</v>
      </c>
      <c r="H28" s="17">
        <v>0.03</v>
      </c>
      <c r="I28" s="17">
        <v>15.85</v>
      </c>
      <c r="J28" s="17">
        <v>0.19</v>
      </c>
      <c r="K28" t="s">
        <v>103</v>
      </c>
      <c r="L28" t="s">
        <v>107</v>
      </c>
      <c r="M28" t="s">
        <v>84</v>
      </c>
      <c r="N28" t="s">
        <v>110</v>
      </c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2:27">
      <c r="B29" s="15" t="s">
        <v>99</v>
      </c>
      <c r="C29" s="17">
        <v>2.85</v>
      </c>
      <c r="D29" s="17">
        <v>0.35</v>
      </c>
      <c r="E29" s="17">
        <v>5.0999999999999996</v>
      </c>
      <c r="F29" s="17">
        <v>0.98</v>
      </c>
      <c r="G29" s="17">
        <v>4.26</v>
      </c>
      <c r="H29" s="17">
        <v>0.12</v>
      </c>
      <c r="I29" s="17">
        <v>14.24</v>
      </c>
      <c r="J29" s="17">
        <v>2.5499999999999998</v>
      </c>
      <c r="K29" t="s">
        <v>103</v>
      </c>
      <c r="L29" t="s">
        <v>107</v>
      </c>
      <c r="M29" t="s">
        <v>84</v>
      </c>
      <c r="N29" t="s">
        <v>102</v>
      </c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2:27">
      <c r="B30" s="15" t="s">
        <v>100</v>
      </c>
      <c r="C30" s="17">
        <v>1.99</v>
      </c>
      <c r="D30" s="17">
        <v>0.61</v>
      </c>
      <c r="E30" s="17">
        <v>6.25</v>
      </c>
      <c r="F30" s="17">
        <v>0.23</v>
      </c>
      <c r="G30" s="17">
        <v>4.24</v>
      </c>
      <c r="H30" s="17">
        <v>0.02</v>
      </c>
      <c r="I30" s="17">
        <v>11.53</v>
      </c>
      <c r="J30" s="17">
        <v>0.48</v>
      </c>
      <c r="K30" t="s">
        <v>83</v>
      </c>
      <c r="L30" t="s">
        <v>103</v>
      </c>
      <c r="M30" t="s">
        <v>84</v>
      </c>
      <c r="N30" t="s">
        <v>109</v>
      </c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2:27">
      <c r="B31" s="15"/>
      <c r="C31" s="17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2:27">
      <c r="B32" s="15"/>
      <c r="C32" s="17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2:27">
      <c r="B33" s="15"/>
      <c r="C33" s="17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2:27">
      <c r="B34" s="15"/>
      <c r="C34" s="17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2:27"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2:27"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2:27"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2:27"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2:27"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2:27"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2:27"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2:27"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2:27"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2:27"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2:27"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2:27"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2:27"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2:27"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4:27"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4:27"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4:27"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4:27"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4:27"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4:27"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4:27"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4:27"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4:27"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4:27"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4:27"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4:27"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4:27"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4:27"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4:27"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4:27"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4:27"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4:27"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4:27"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4:27"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4:27"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4:27"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4:27"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4:27"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4:27"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4:27"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4:27"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4:27"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4:27"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4:27"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4:27"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4:27"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4:27"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4:27"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4:27"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4:27"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4:27"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4:27"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4:27"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4:27"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4:27"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4:27"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4:27"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4:27"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4:27"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</sheetData>
  <autoFilter ref="D5:M15" xr:uid="{00000000-0001-0000-0400-000000000000}">
    <sortState xmlns:xlrd2="http://schemas.microsoft.com/office/spreadsheetml/2017/richdata2" ref="D6:M15">
      <sortCondition ref="D5:D15"/>
    </sortState>
  </autoFilter>
  <sortState xmlns:xlrd2="http://schemas.microsoft.com/office/spreadsheetml/2017/richdata2" ref="D25:J39">
    <sortCondition ref="D25:D39"/>
  </sortState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ANOVA_marker_clear">
          <controlPr defaultSize="0" autoLine="0" r:id="rId5">
            <anchor moveWithCells="1">
              <from>
                <xdr:col>0</xdr:col>
                <xdr:colOff>0</xdr:colOff>
                <xdr:row>1</xdr:row>
                <xdr:rowOff>22860</xdr:rowOff>
              </from>
              <to>
                <xdr:col>1</xdr:col>
                <xdr:colOff>76200</xdr:colOff>
                <xdr:row>2</xdr:row>
                <xdr:rowOff>129540</xdr:rowOff>
              </to>
            </anchor>
          </controlPr>
        </control>
      </mc:Choice>
      <mc:Fallback>
        <control shapeId="10252" r:id="rId4" name="ANOVA_marker_clear"/>
      </mc:Fallback>
    </mc:AlternateContent>
    <mc:AlternateContent xmlns:mc="http://schemas.openxmlformats.org/markup-compatibility/2006">
      <mc:Choice Requires="x14">
        <control shapeId="10253" r:id="rId6" name="ANOVA_marker_copy">
          <controlPr defaultSize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53340</xdr:colOff>
                <xdr:row>3</xdr:row>
                <xdr:rowOff>152400</xdr:rowOff>
              </to>
            </anchor>
          </controlPr>
        </control>
      </mc:Choice>
      <mc:Fallback>
        <control shapeId="10253" r:id="rId6" name="ANOVA_marker_cop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CT106"/>
  <sheetViews>
    <sheetView zoomScale="55" zoomScaleNormal="55" workbookViewId="0">
      <selection activeCell="K81" sqref="K81"/>
    </sheetView>
  </sheetViews>
  <sheetFormatPr defaultRowHeight="13.8"/>
  <cols>
    <col min="1" max="1" width="15.77734375" style="2" customWidth="1"/>
    <col min="2" max="2" width="8.88671875" style="2"/>
  </cols>
  <sheetData>
    <row r="1" spans="1:2">
      <c r="A1"/>
      <c r="B1" t="s">
        <v>101</v>
      </c>
    </row>
    <row r="2" spans="1:2">
      <c r="A2"/>
      <c r="B2" t="s">
        <v>101</v>
      </c>
    </row>
    <row r="3" spans="1:2">
      <c r="A3"/>
      <c r="B3"/>
    </row>
    <row r="4" spans="1:2">
      <c r="A4"/>
      <c r="B4"/>
    </row>
    <row r="5" spans="1:2">
      <c r="A5"/>
      <c r="B5"/>
    </row>
    <row r="6" spans="1:2">
      <c r="A6"/>
      <c r="B6"/>
    </row>
    <row r="7" spans="1:2">
      <c r="A7"/>
      <c r="B7"/>
    </row>
    <row r="8" spans="1:2">
      <c r="A8"/>
      <c r="B8"/>
    </row>
    <row r="9" spans="1:2">
      <c r="A9"/>
      <c r="B9"/>
    </row>
    <row r="10" spans="1:2">
      <c r="A10"/>
      <c r="B10"/>
    </row>
    <row r="11" spans="1:2">
      <c r="A11"/>
      <c r="B11"/>
    </row>
    <row r="12" spans="1:2">
      <c r="A12"/>
      <c r="B12"/>
    </row>
    <row r="13" spans="1:2">
      <c r="A13"/>
      <c r="B13"/>
    </row>
    <row r="14" spans="1:2">
      <c r="A14"/>
      <c r="B14"/>
    </row>
    <row r="15" spans="1:2">
      <c r="A15"/>
      <c r="B15"/>
    </row>
    <row r="16" spans="1:2">
      <c r="A16"/>
      <c r="B16"/>
    </row>
    <row r="17" spans="1:2">
      <c r="A17"/>
      <c r="B17"/>
    </row>
    <row r="18" spans="1:2">
      <c r="A18"/>
      <c r="B18"/>
    </row>
    <row r="19" spans="1:2">
      <c r="A19"/>
      <c r="B19"/>
    </row>
    <row r="20" spans="1:2">
      <c r="A20"/>
      <c r="B20"/>
    </row>
    <row r="21" spans="1:2" ht="16.2" customHeight="1">
      <c r="A21"/>
      <c r="B21"/>
    </row>
    <row r="22" spans="1:2" ht="16.2" customHeight="1">
      <c r="A22"/>
      <c r="B22"/>
    </row>
    <row r="23" spans="1:2" ht="16.2" customHeight="1">
      <c r="A23"/>
      <c r="B23"/>
    </row>
    <row r="24" spans="1:2" ht="16.2" customHeight="1">
      <c r="A24"/>
      <c r="B24"/>
    </row>
    <row r="25" spans="1:2" ht="16.2" customHeight="1">
      <c r="A25"/>
      <c r="B25"/>
    </row>
    <row r="26" spans="1:2" ht="16.2" customHeight="1">
      <c r="A26"/>
      <c r="B26"/>
    </row>
    <row r="27" spans="1:2" ht="16.2" customHeight="1">
      <c r="A27"/>
      <c r="B27"/>
    </row>
    <row r="28" spans="1:2" ht="16.2" customHeight="1">
      <c r="A28"/>
      <c r="B28"/>
    </row>
    <row r="29" spans="1:2">
      <c r="A29"/>
      <c r="B29"/>
    </row>
    <row r="30" spans="1:2">
      <c r="A30"/>
      <c r="B30"/>
    </row>
    <row r="31" spans="1:2">
      <c r="A31"/>
      <c r="B31"/>
    </row>
    <row r="32" spans="1:2">
      <c r="A32"/>
      <c r="B32"/>
    </row>
    <row r="33" spans="1:2">
      <c r="A33"/>
      <c r="B33"/>
    </row>
    <row r="34" spans="1:2">
      <c r="A34"/>
      <c r="B34"/>
    </row>
    <row r="35" spans="1:2">
      <c r="A35"/>
      <c r="B35"/>
    </row>
    <row r="36" spans="1:2">
      <c r="A36"/>
      <c r="B36"/>
    </row>
    <row r="37" spans="1:2">
      <c r="A37"/>
      <c r="B37"/>
    </row>
    <row r="38" spans="1:2">
      <c r="A38"/>
      <c r="B38"/>
    </row>
    <row r="39" spans="1:2">
      <c r="A39"/>
      <c r="B39"/>
    </row>
    <row r="40" spans="1:2">
      <c r="A40"/>
      <c r="B40"/>
    </row>
    <row r="41" spans="1:2">
      <c r="A41"/>
      <c r="B41"/>
    </row>
    <row r="42" spans="1:2">
      <c r="A42"/>
      <c r="B42"/>
    </row>
    <row r="43" spans="1:2">
      <c r="A43"/>
      <c r="B43"/>
    </row>
    <row r="44" spans="1:2">
      <c r="A44"/>
      <c r="B44"/>
    </row>
    <row r="45" spans="1:2">
      <c r="A45"/>
      <c r="B45"/>
    </row>
    <row r="46" spans="1:2">
      <c r="A46"/>
      <c r="B46"/>
    </row>
    <row r="47" spans="1:2">
      <c r="A47"/>
      <c r="B47"/>
    </row>
    <row r="48" spans="1:2">
      <c r="A48"/>
      <c r="B48"/>
    </row>
    <row r="49" spans="1:98">
      <c r="A49"/>
      <c r="B49"/>
    </row>
    <row r="50" spans="1:98">
      <c r="A50"/>
      <c r="B50"/>
    </row>
    <row r="51" spans="1:98">
      <c r="A51"/>
      <c r="B51"/>
    </row>
    <row r="52" spans="1:98">
      <c r="A52"/>
      <c r="B52"/>
    </row>
    <row r="53" spans="1:98">
      <c r="A53"/>
      <c r="B53"/>
    </row>
    <row r="54" spans="1:98">
      <c r="A54"/>
      <c r="B54"/>
    </row>
    <row r="55" spans="1:98">
      <c r="A55"/>
      <c r="B55"/>
    </row>
    <row r="56" spans="1:98">
      <c r="A56"/>
      <c r="B56"/>
    </row>
    <row r="57" spans="1:98">
      <c r="A57"/>
      <c r="B57"/>
    </row>
    <row r="58" spans="1:98">
      <c r="A58"/>
      <c r="B58"/>
    </row>
    <row r="59" spans="1:98">
      <c r="A59"/>
      <c r="B59"/>
    </row>
    <row r="60" spans="1:98">
      <c r="A60"/>
      <c r="B60"/>
    </row>
    <row r="61" spans="1:98" s="2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</row>
    <row r="62" spans="1:98">
      <c r="A62"/>
      <c r="B62"/>
    </row>
    <row r="63" spans="1:98">
      <c r="A63"/>
      <c r="B63"/>
    </row>
    <row r="64" spans="1:98">
      <c r="A64"/>
      <c r="B64"/>
    </row>
    <row r="65" spans="1:2">
      <c r="A65"/>
      <c r="B65"/>
    </row>
    <row r="66" spans="1:2">
      <c r="A66"/>
      <c r="B66"/>
    </row>
    <row r="67" spans="1:2">
      <c r="A67"/>
      <c r="B67"/>
    </row>
    <row r="68" spans="1:2">
      <c r="A68"/>
      <c r="B68"/>
    </row>
    <row r="69" spans="1:2">
      <c r="A69"/>
      <c r="B69"/>
    </row>
    <row r="70" spans="1:2">
      <c r="A70"/>
      <c r="B70"/>
    </row>
    <row r="71" spans="1:2">
      <c r="A71"/>
      <c r="B71"/>
    </row>
    <row r="72" spans="1:2">
      <c r="A72"/>
      <c r="B72"/>
    </row>
    <row r="73" spans="1:2">
      <c r="A73"/>
      <c r="B73"/>
    </row>
    <row r="74" spans="1:2">
      <c r="A74"/>
      <c r="B74"/>
    </row>
    <row r="75" spans="1:2">
      <c r="A75"/>
      <c r="B75"/>
    </row>
    <row r="76" spans="1:2">
      <c r="A76"/>
      <c r="B76"/>
    </row>
    <row r="77" spans="1:2">
      <c r="A77"/>
      <c r="B77"/>
    </row>
    <row r="78" spans="1:2">
      <c r="A78"/>
      <c r="B78"/>
    </row>
    <row r="79" spans="1:2">
      <c r="A79"/>
      <c r="B79"/>
    </row>
    <row r="80" spans="1:2">
      <c r="A80"/>
      <c r="B80"/>
    </row>
    <row r="81" spans="1:2">
      <c r="A81"/>
      <c r="B81"/>
    </row>
    <row r="82" spans="1:2">
      <c r="A82"/>
      <c r="B82"/>
    </row>
    <row r="83" spans="1:2">
      <c r="A83"/>
      <c r="B83"/>
    </row>
    <row r="84" spans="1:2">
      <c r="A84"/>
      <c r="B84"/>
    </row>
    <row r="85" spans="1:2">
      <c r="A85"/>
      <c r="B85"/>
    </row>
    <row r="86" spans="1:2">
      <c r="A86"/>
      <c r="B86"/>
    </row>
    <row r="87" spans="1:2">
      <c r="A87"/>
      <c r="B87"/>
    </row>
    <row r="88" spans="1:2" ht="12.6" customHeight="1">
      <c r="A88"/>
      <c r="B88"/>
    </row>
    <row r="89" spans="1:2" hidden="1">
      <c r="A89"/>
      <c r="B89"/>
    </row>
    <row r="90" spans="1:2" hidden="1">
      <c r="A90"/>
      <c r="B90"/>
    </row>
    <row r="91" spans="1:2">
      <c r="A91"/>
      <c r="B91"/>
    </row>
    <row r="92" spans="1:2">
      <c r="A92"/>
      <c r="B92"/>
    </row>
    <row r="93" spans="1:2">
      <c r="A93"/>
      <c r="B93"/>
    </row>
    <row r="94" spans="1:2">
      <c r="A94"/>
      <c r="B94"/>
    </row>
    <row r="95" spans="1:2">
      <c r="A95"/>
      <c r="B95"/>
    </row>
    <row r="96" spans="1:2">
      <c r="A96"/>
      <c r="B96"/>
    </row>
    <row r="97" spans="1:2">
      <c r="A97"/>
      <c r="B97"/>
    </row>
    <row r="98" spans="1:2">
      <c r="A98"/>
      <c r="B98"/>
    </row>
    <row r="99" spans="1:2">
      <c r="A99"/>
      <c r="B99"/>
    </row>
    <row r="100" spans="1:2">
      <c r="A100"/>
      <c r="B100"/>
    </row>
    <row r="101" spans="1:2">
      <c r="A101"/>
      <c r="B101"/>
    </row>
    <row r="102" spans="1:2">
      <c r="A102"/>
      <c r="B102"/>
    </row>
    <row r="103" spans="1:2">
      <c r="A103"/>
      <c r="B103"/>
    </row>
    <row r="104" spans="1:2">
      <c r="A104"/>
      <c r="B104"/>
    </row>
    <row r="105" spans="1:2">
      <c r="A105"/>
      <c r="B105"/>
    </row>
    <row r="106" spans="1:2">
      <c r="A106"/>
      <c r="B106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1" r:id="rId4" name="CommandButton1">
          <controlPr defaultSize="0" print="0" autoLine="0" r:id="rId5">
            <anchor moveWithCells="1">
              <from>
                <xdr:col>9</xdr:col>
                <xdr:colOff>525780</xdr:colOff>
                <xdr:row>14</xdr:row>
                <xdr:rowOff>15240</xdr:rowOff>
              </from>
              <to>
                <xdr:col>11</xdr:col>
                <xdr:colOff>121920</xdr:colOff>
                <xdr:row>16</xdr:row>
                <xdr:rowOff>68580</xdr:rowOff>
              </to>
            </anchor>
          </controlPr>
        </control>
      </mc:Choice>
      <mc:Fallback>
        <control shapeId="12291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1"/>
  <dimension ref="A1:C3"/>
  <sheetViews>
    <sheetView workbookViewId="0">
      <selection activeCell="C4" sqref="C4"/>
    </sheetView>
  </sheetViews>
  <sheetFormatPr defaultRowHeight="13.8"/>
  <cols>
    <col min="1" max="16384" width="8.88671875" style="1"/>
  </cols>
  <sheetData>
    <row r="1" spans="1:3">
      <c r="B1" s="13" t="s">
        <v>74</v>
      </c>
      <c r="C1" s="13" t="s">
        <v>76</v>
      </c>
    </row>
    <row r="2" spans="1:3" ht="13.8" customHeight="1">
      <c r="A2" s="13" t="s">
        <v>73</v>
      </c>
      <c r="B2" s="1">
        <v>123</v>
      </c>
      <c r="C2" s="13">
        <v>432</v>
      </c>
    </row>
    <row r="3" spans="1:3">
      <c r="A3" s="13" t="s">
        <v>75</v>
      </c>
      <c r="B3" s="1">
        <v>321</v>
      </c>
      <c r="C3" s="1">
        <v>432</v>
      </c>
    </row>
  </sheetData>
  <phoneticPr fontId="3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Q35"/>
  <sheetViews>
    <sheetView workbookViewId="0">
      <selection activeCell="F13" sqref="F13"/>
    </sheetView>
  </sheetViews>
  <sheetFormatPr defaultRowHeight="13.8"/>
  <cols>
    <col min="5" max="10" width="11.77734375" customWidth="1"/>
  </cols>
  <sheetData>
    <row r="1" spans="1:17" ht="16.8" thickBot="1">
      <c r="A1" t="s">
        <v>72</v>
      </c>
      <c r="J1" s="9" t="s">
        <v>70</v>
      </c>
      <c r="K1" s="9" t="s">
        <v>71</v>
      </c>
      <c r="L1" s="10" t="s">
        <v>9</v>
      </c>
      <c r="M1" s="11" t="s">
        <v>11</v>
      </c>
      <c r="N1" s="12" t="s">
        <v>10</v>
      </c>
      <c r="O1" s="11" t="s">
        <v>12</v>
      </c>
      <c r="P1" s="11" t="s">
        <v>13</v>
      </c>
      <c r="Q1" s="11" t="s">
        <v>14</v>
      </c>
    </row>
    <row r="2" spans="1:17">
      <c r="C2" s="5" t="s">
        <v>45</v>
      </c>
      <c r="D2" s="5" t="s">
        <v>46</v>
      </c>
      <c r="E2" s="5" t="s">
        <v>47</v>
      </c>
      <c r="F2" s="5" t="s">
        <v>48</v>
      </c>
      <c r="G2" s="5" t="s">
        <v>49</v>
      </c>
      <c r="H2" s="5" t="s">
        <v>50</v>
      </c>
      <c r="I2" s="5" t="s">
        <v>51</v>
      </c>
      <c r="J2" s="6" t="s">
        <v>1</v>
      </c>
      <c r="K2" s="5" t="s">
        <v>2</v>
      </c>
      <c r="L2" s="5" t="s">
        <v>3</v>
      </c>
      <c r="M2" t="s">
        <v>5</v>
      </c>
      <c r="N2" t="s">
        <v>4</v>
      </c>
      <c r="O2" t="s">
        <v>6</v>
      </c>
      <c r="P2" t="s">
        <v>7</v>
      </c>
      <c r="Q2" t="s">
        <v>8</v>
      </c>
    </row>
    <row r="3" spans="1:17">
      <c r="C3" s="5" t="s">
        <v>0</v>
      </c>
      <c r="D3" s="5" t="s">
        <v>52</v>
      </c>
      <c r="E3" s="5" t="s">
        <v>53</v>
      </c>
      <c r="F3" s="5" t="s">
        <v>52</v>
      </c>
      <c r="G3" s="5" t="s">
        <v>52</v>
      </c>
      <c r="H3" s="5" t="s">
        <v>52</v>
      </c>
      <c r="I3" s="5" t="s">
        <v>53</v>
      </c>
      <c r="J3" s="6" t="s">
        <v>0</v>
      </c>
      <c r="K3" s="5" t="s">
        <v>0</v>
      </c>
      <c r="L3" s="5" t="s">
        <v>52</v>
      </c>
    </row>
    <row r="4" spans="1:17">
      <c r="C4" s="5" t="s">
        <v>45</v>
      </c>
      <c r="D4" s="5" t="s">
        <v>54</v>
      </c>
      <c r="E4" s="5" t="s">
        <v>55</v>
      </c>
      <c r="F4" s="5" t="s">
        <v>56</v>
      </c>
      <c r="G4" s="5" t="s">
        <v>57</v>
      </c>
      <c r="H4" s="5" t="s">
        <v>58</v>
      </c>
      <c r="I4" s="5" t="s">
        <v>59</v>
      </c>
      <c r="J4" s="6" t="s">
        <v>60</v>
      </c>
      <c r="K4" s="5" t="s">
        <v>61</v>
      </c>
      <c r="L4" s="5" t="s">
        <v>62</v>
      </c>
      <c r="M4" s="3" t="s">
        <v>63</v>
      </c>
      <c r="N4" t="s">
        <v>64</v>
      </c>
      <c r="O4" t="s">
        <v>65</v>
      </c>
      <c r="P4" t="s">
        <v>66</v>
      </c>
      <c r="Q4" t="s">
        <v>67</v>
      </c>
    </row>
    <row r="5" spans="1:17">
      <c r="A5" t="s">
        <v>15</v>
      </c>
    </row>
    <row r="6" spans="1:17">
      <c r="A6" t="s">
        <v>16</v>
      </c>
    </row>
    <row r="7" spans="1:17">
      <c r="A7" t="s">
        <v>17</v>
      </c>
    </row>
    <row r="8" spans="1:17">
      <c r="A8" t="s">
        <v>18</v>
      </c>
    </row>
    <row r="9" spans="1:17">
      <c r="A9" t="s">
        <v>19</v>
      </c>
    </row>
    <row r="10" spans="1:17">
      <c r="A10" t="s">
        <v>20</v>
      </c>
    </row>
    <row r="11" spans="1:17">
      <c r="A11" t="s">
        <v>21</v>
      </c>
    </row>
    <row r="12" spans="1:17">
      <c r="A12" t="s">
        <v>22</v>
      </c>
    </row>
    <row r="13" spans="1:17">
      <c r="A13" t="s">
        <v>23</v>
      </c>
    </row>
    <row r="14" spans="1:17">
      <c r="A14" t="s">
        <v>24</v>
      </c>
    </row>
    <row r="15" spans="1:17">
      <c r="A15" t="s">
        <v>25</v>
      </c>
    </row>
    <row r="16" spans="1:17">
      <c r="A16" t="s">
        <v>26</v>
      </c>
    </row>
    <row r="17" spans="1:17">
      <c r="A17" t="s">
        <v>27</v>
      </c>
    </row>
    <row r="18" spans="1:17">
      <c r="A18" t="s">
        <v>28</v>
      </c>
    </row>
    <row r="19" spans="1:17">
      <c r="A19" t="s">
        <v>44</v>
      </c>
    </row>
    <row r="20" spans="1:17">
      <c r="C20" s="7" t="s">
        <v>68</v>
      </c>
      <c r="D20" s="7" t="s">
        <v>69</v>
      </c>
      <c r="E20" s="7" t="s">
        <v>53</v>
      </c>
      <c r="F20" s="7" t="s">
        <v>69</v>
      </c>
      <c r="G20" s="7" t="s">
        <v>69</v>
      </c>
      <c r="H20" s="7" t="s">
        <v>69</v>
      </c>
      <c r="I20" s="7" t="s">
        <v>53</v>
      </c>
      <c r="J20" s="8" t="s">
        <v>68</v>
      </c>
      <c r="K20" s="7" t="s">
        <v>68</v>
      </c>
      <c r="L20" s="7" t="s">
        <v>69</v>
      </c>
    </row>
    <row r="21" spans="1:17">
      <c r="A21" t="s">
        <v>29</v>
      </c>
      <c r="C21">
        <f>ROUND(C5*0.0098,3)</f>
        <v>0</v>
      </c>
      <c r="D21">
        <f>ROUND(D5*0.0098,30)</f>
        <v>0</v>
      </c>
      <c r="E21">
        <f>E5</f>
        <v>0</v>
      </c>
      <c r="F21">
        <f>ROUND(F5*0.0098,3)</f>
        <v>0</v>
      </c>
      <c r="G21">
        <f>ROUND(G5*0.0098,3)</f>
        <v>0</v>
      </c>
      <c r="H21">
        <f>ROUND(H5*0.0098,3)</f>
        <v>0</v>
      </c>
      <c r="I21">
        <f>I5</f>
        <v>0</v>
      </c>
      <c r="J21" s="4">
        <f>ROUND(J5*0.0098,3)</f>
        <v>0</v>
      </c>
      <c r="L21">
        <f>-ROUND(L5*0.0098,3)</f>
        <v>0</v>
      </c>
      <c r="M21" t="e">
        <f>ROUND(I21/E21,3)</f>
        <v>#DIV/0!</v>
      </c>
      <c r="N21" t="e">
        <f>ROUND(H21/F21,3)</f>
        <v>#DIV/0!</v>
      </c>
      <c r="O21" t="e">
        <f>ROUND(J21*N21,3)</f>
        <v>#DIV/0!</v>
      </c>
      <c r="P21" t="e">
        <f>ROUND(O21*M21,3)</f>
        <v>#DIV/0!</v>
      </c>
      <c r="Q21" t="e">
        <f>ROUND(G21/D21,3)</f>
        <v>#DIV/0!</v>
      </c>
    </row>
    <row r="22" spans="1:17">
      <c r="A22" t="s">
        <v>30</v>
      </c>
      <c r="C22">
        <f t="shared" ref="C22:C35" si="0">ROUND(C6*0.0098,3)</f>
        <v>0</v>
      </c>
      <c r="D22">
        <f t="shared" ref="D22:D35" si="1">ROUND(D6*0.0098,30)</f>
        <v>0</v>
      </c>
      <c r="E22">
        <f t="shared" ref="E22:E35" si="2">E6</f>
        <v>0</v>
      </c>
      <c r="F22">
        <f t="shared" ref="F22:H22" si="3">ROUND(F6*0.0098,3)</f>
        <v>0</v>
      </c>
      <c r="G22">
        <f t="shared" si="3"/>
        <v>0</v>
      </c>
      <c r="H22">
        <f t="shared" si="3"/>
        <v>0</v>
      </c>
      <c r="I22">
        <f t="shared" ref="I22:I35" si="4">I6</f>
        <v>0</v>
      </c>
      <c r="J22" s="4">
        <f t="shared" ref="J22:J35" si="5">ROUND(J6*0.0098,3)</f>
        <v>0</v>
      </c>
      <c r="L22">
        <f t="shared" ref="L22:L28" si="6">-ROUND(L6*0.0098,3)</f>
        <v>0</v>
      </c>
      <c r="M22" t="e">
        <f t="shared" ref="M22:M35" si="7">ROUND(I22/E22,3)</f>
        <v>#DIV/0!</v>
      </c>
      <c r="N22" t="e">
        <f t="shared" ref="N22:N35" si="8">ROUND(H22/F22,3)</f>
        <v>#DIV/0!</v>
      </c>
      <c r="O22" t="e">
        <f t="shared" ref="O22:O35" si="9">ROUND(J22*N22,3)</f>
        <v>#DIV/0!</v>
      </c>
      <c r="P22" t="e">
        <f t="shared" ref="P22:P35" si="10">ROUND(O22*M22,3)</f>
        <v>#DIV/0!</v>
      </c>
      <c r="Q22" t="e">
        <f t="shared" ref="Q22:Q35" si="11">ROUND(G22/D22,3)</f>
        <v>#DIV/0!</v>
      </c>
    </row>
    <row r="23" spans="1:17">
      <c r="A23" t="s">
        <v>31</v>
      </c>
      <c r="C23">
        <f t="shared" si="0"/>
        <v>0</v>
      </c>
      <c r="D23">
        <f t="shared" si="1"/>
        <v>0</v>
      </c>
      <c r="E23">
        <f t="shared" si="2"/>
        <v>0</v>
      </c>
      <c r="F23">
        <f t="shared" ref="F23:H23" si="12">ROUND(F7*0.0098,3)</f>
        <v>0</v>
      </c>
      <c r="G23">
        <f t="shared" si="12"/>
        <v>0</v>
      </c>
      <c r="H23">
        <f t="shared" si="12"/>
        <v>0</v>
      </c>
      <c r="I23">
        <f t="shared" si="4"/>
        <v>0</v>
      </c>
      <c r="J23" s="4">
        <f t="shared" si="5"/>
        <v>0</v>
      </c>
      <c r="L23">
        <f t="shared" si="6"/>
        <v>0</v>
      </c>
      <c r="M23" t="e">
        <f t="shared" si="7"/>
        <v>#DIV/0!</v>
      </c>
      <c r="N23" t="e">
        <f t="shared" si="8"/>
        <v>#DIV/0!</v>
      </c>
      <c r="O23" t="e">
        <f t="shared" si="9"/>
        <v>#DIV/0!</v>
      </c>
      <c r="P23" t="e">
        <f t="shared" si="10"/>
        <v>#DIV/0!</v>
      </c>
      <c r="Q23" t="e">
        <f t="shared" si="11"/>
        <v>#DIV/0!</v>
      </c>
    </row>
    <row r="24" spans="1:17">
      <c r="A24" t="s">
        <v>32</v>
      </c>
      <c r="C24">
        <f t="shared" si="0"/>
        <v>0</v>
      </c>
      <c r="D24">
        <f t="shared" si="1"/>
        <v>0</v>
      </c>
      <c r="E24">
        <f t="shared" si="2"/>
        <v>0</v>
      </c>
      <c r="F24">
        <f t="shared" ref="F24:H24" si="13">ROUND(F8*0.0098,3)</f>
        <v>0</v>
      </c>
      <c r="G24">
        <f t="shared" si="13"/>
        <v>0</v>
      </c>
      <c r="H24">
        <f t="shared" si="13"/>
        <v>0</v>
      </c>
      <c r="I24">
        <f t="shared" si="4"/>
        <v>0</v>
      </c>
      <c r="J24" s="4">
        <f t="shared" si="5"/>
        <v>0</v>
      </c>
      <c r="L24">
        <f t="shared" si="6"/>
        <v>0</v>
      </c>
      <c r="M24" t="e">
        <f t="shared" si="7"/>
        <v>#DIV/0!</v>
      </c>
      <c r="N24" t="e">
        <f t="shared" si="8"/>
        <v>#DIV/0!</v>
      </c>
      <c r="O24" t="e">
        <f t="shared" si="9"/>
        <v>#DIV/0!</v>
      </c>
      <c r="P24" t="e">
        <f t="shared" si="10"/>
        <v>#DIV/0!</v>
      </c>
      <c r="Q24" t="e">
        <f t="shared" si="11"/>
        <v>#DIV/0!</v>
      </c>
    </row>
    <row r="25" spans="1:17">
      <c r="A25" t="s">
        <v>33</v>
      </c>
      <c r="C25">
        <f t="shared" si="0"/>
        <v>0</v>
      </c>
      <c r="D25">
        <f t="shared" si="1"/>
        <v>0</v>
      </c>
      <c r="E25">
        <f t="shared" si="2"/>
        <v>0</v>
      </c>
      <c r="F25">
        <f t="shared" ref="F25:H25" si="14">ROUND(F9*0.0098,3)</f>
        <v>0</v>
      </c>
      <c r="G25">
        <f t="shared" si="14"/>
        <v>0</v>
      </c>
      <c r="H25">
        <f t="shared" si="14"/>
        <v>0</v>
      </c>
      <c r="I25">
        <f t="shared" si="4"/>
        <v>0</v>
      </c>
      <c r="J25" s="4">
        <f t="shared" si="5"/>
        <v>0</v>
      </c>
      <c r="L25">
        <f t="shared" si="6"/>
        <v>0</v>
      </c>
      <c r="M25" t="e">
        <f t="shared" si="7"/>
        <v>#DIV/0!</v>
      </c>
      <c r="N25" t="e">
        <f t="shared" si="8"/>
        <v>#DIV/0!</v>
      </c>
      <c r="O25" t="e">
        <f t="shared" si="9"/>
        <v>#DIV/0!</v>
      </c>
      <c r="P25" t="e">
        <f t="shared" si="10"/>
        <v>#DIV/0!</v>
      </c>
      <c r="Q25" t="e">
        <f t="shared" si="11"/>
        <v>#DIV/0!</v>
      </c>
    </row>
    <row r="26" spans="1:17">
      <c r="A26" t="s">
        <v>34</v>
      </c>
      <c r="C26">
        <f t="shared" si="0"/>
        <v>0</v>
      </c>
      <c r="D26">
        <f t="shared" si="1"/>
        <v>0</v>
      </c>
      <c r="E26">
        <f t="shared" si="2"/>
        <v>0</v>
      </c>
      <c r="F26">
        <f t="shared" ref="F26:H26" si="15">ROUND(F10*0.0098,3)</f>
        <v>0</v>
      </c>
      <c r="G26">
        <f t="shared" si="15"/>
        <v>0</v>
      </c>
      <c r="H26">
        <f t="shared" si="15"/>
        <v>0</v>
      </c>
      <c r="I26">
        <f t="shared" si="4"/>
        <v>0</v>
      </c>
      <c r="J26" s="4">
        <f t="shared" si="5"/>
        <v>0</v>
      </c>
      <c r="L26">
        <f t="shared" si="6"/>
        <v>0</v>
      </c>
      <c r="M26" t="e">
        <f t="shared" si="7"/>
        <v>#DIV/0!</v>
      </c>
      <c r="N26" t="e">
        <f t="shared" si="8"/>
        <v>#DIV/0!</v>
      </c>
      <c r="O26" t="e">
        <f t="shared" si="9"/>
        <v>#DIV/0!</v>
      </c>
      <c r="P26" t="e">
        <f t="shared" si="10"/>
        <v>#DIV/0!</v>
      </c>
      <c r="Q26" t="e">
        <f t="shared" si="11"/>
        <v>#DIV/0!</v>
      </c>
    </row>
    <row r="27" spans="1:17">
      <c r="A27" t="s">
        <v>35</v>
      </c>
      <c r="C27">
        <f t="shared" si="0"/>
        <v>0</v>
      </c>
      <c r="D27">
        <f t="shared" si="1"/>
        <v>0</v>
      </c>
      <c r="E27">
        <f t="shared" si="2"/>
        <v>0</v>
      </c>
      <c r="F27">
        <f t="shared" ref="F27:H27" si="16">ROUND(F11*0.0098,3)</f>
        <v>0</v>
      </c>
      <c r="G27">
        <f t="shared" si="16"/>
        <v>0</v>
      </c>
      <c r="H27">
        <f t="shared" si="16"/>
        <v>0</v>
      </c>
      <c r="I27">
        <f t="shared" si="4"/>
        <v>0</v>
      </c>
      <c r="J27" s="4">
        <f t="shared" si="5"/>
        <v>0</v>
      </c>
      <c r="L27">
        <f t="shared" si="6"/>
        <v>0</v>
      </c>
      <c r="M27" t="e">
        <f t="shared" si="7"/>
        <v>#DIV/0!</v>
      </c>
      <c r="N27" t="e">
        <f t="shared" si="8"/>
        <v>#DIV/0!</v>
      </c>
      <c r="O27" t="e">
        <f t="shared" si="9"/>
        <v>#DIV/0!</v>
      </c>
      <c r="P27" t="e">
        <f t="shared" si="10"/>
        <v>#DIV/0!</v>
      </c>
      <c r="Q27" t="e">
        <f t="shared" si="11"/>
        <v>#DIV/0!</v>
      </c>
    </row>
    <row r="28" spans="1:17">
      <c r="A28" t="s">
        <v>36</v>
      </c>
      <c r="C28">
        <f t="shared" si="0"/>
        <v>0</v>
      </c>
      <c r="D28">
        <f t="shared" si="1"/>
        <v>0</v>
      </c>
      <c r="E28">
        <f t="shared" si="2"/>
        <v>0</v>
      </c>
      <c r="F28">
        <f t="shared" ref="F28:H28" si="17">ROUND(F12*0.0098,3)</f>
        <v>0</v>
      </c>
      <c r="G28">
        <f t="shared" si="17"/>
        <v>0</v>
      </c>
      <c r="H28">
        <f t="shared" si="17"/>
        <v>0</v>
      </c>
      <c r="I28">
        <f t="shared" si="4"/>
        <v>0</v>
      </c>
      <c r="J28" s="4">
        <f t="shared" si="5"/>
        <v>0</v>
      </c>
      <c r="L28">
        <f t="shared" si="6"/>
        <v>0</v>
      </c>
      <c r="M28" t="e">
        <f t="shared" si="7"/>
        <v>#DIV/0!</v>
      </c>
      <c r="N28" t="e">
        <f t="shared" si="8"/>
        <v>#DIV/0!</v>
      </c>
      <c r="O28" t="e">
        <f t="shared" si="9"/>
        <v>#DIV/0!</v>
      </c>
      <c r="P28" t="e">
        <f t="shared" si="10"/>
        <v>#DIV/0!</v>
      </c>
      <c r="Q28" t="e">
        <f t="shared" si="11"/>
        <v>#DIV/0!</v>
      </c>
    </row>
    <row r="29" spans="1:17">
      <c r="A29" t="s">
        <v>37</v>
      </c>
      <c r="C29">
        <f>ROUND(C13*0.0098,3)</f>
        <v>0</v>
      </c>
      <c r="D29">
        <f>ROUND(D13*0.0098,30)</f>
        <v>0</v>
      </c>
      <c r="E29">
        <f>E13</f>
        <v>0</v>
      </c>
      <c r="F29">
        <f>ROUND(F13*0.0098,3)</f>
        <v>0</v>
      </c>
      <c r="G29">
        <f>ROUND(G13*0.0098,3)</f>
        <v>0</v>
      </c>
      <c r="H29">
        <f>ROUND(H13*0.0098,3)</f>
        <v>0</v>
      </c>
      <c r="I29">
        <f>I13</f>
        <v>0</v>
      </c>
      <c r="J29" s="4">
        <f t="shared" si="5"/>
        <v>0</v>
      </c>
      <c r="L29">
        <f t="shared" ref="L29:L35" si="18">ROUND(L13*0.0098,3)</f>
        <v>0</v>
      </c>
      <c r="M29" t="e">
        <f t="shared" si="7"/>
        <v>#DIV/0!</v>
      </c>
      <c r="N29" t="e">
        <f t="shared" si="8"/>
        <v>#DIV/0!</v>
      </c>
      <c r="O29" t="e">
        <f t="shared" si="9"/>
        <v>#DIV/0!</v>
      </c>
      <c r="P29" t="e">
        <f t="shared" si="10"/>
        <v>#DIV/0!</v>
      </c>
      <c r="Q29" t="e">
        <f t="shared" si="11"/>
        <v>#DIV/0!</v>
      </c>
    </row>
    <row r="30" spans="1:17">
      <c r="A30" t="s">
        <v>38</v>
      </c>
      <c r="C30">
        <f t="shared" si="0"/>
        <v>0</v>
      </c>
      <c r="D30">
        <f t="shared" si="1"/>
        <v>0</v>
      </c>
      <c r="E30">
        <f t="shared" si="2"/>
        <v>0</v>
      </c>
      <c r="F30">
        <f t="shared" ref="F30:H30" si="19">ROUND(F14*0.0098,3)</f>
        <v>0</v>
      </c>
      <c r="G30">
        <f t="shared" si="19"/>
        <v>0</v>
      </c>
      <c r="H30">
        <f t="shared" si="19"/>
        <v>0</v>
      </c>
      <c r="I30">
        <f t="shared" si="4"/>
        <v>0</v>
      </c>
      <c r="J30" s="4">
        <f t="shared" si="5"/>
        <v>0</v>
      </c>
      <c r="L30">
        <f t="shared" si="18"/>
        <v>0</v>
      </c>
      <c r="M30" t="e">
        <f t="shared" si="7"/>
        <v>#DIV/0!</v>
      </c>
      <c r="N30" t="e">
        <f t="shared" si="8"/>
        <v>#DIV/0!</v>
      </c>
      <c r="O30" t="e">
        <f t="shared" si="9"/>
        <v>#DIV/0!</v>
      </c>
      <c r="P30" t="e">
        <f t="shared" si="10"/>
        <v>#DIV/0!</v>
      </c>
      <c r="Q30" t="e">
        <f t="shared" si="11"/>
        <v>#DIV/0!</v>
      </c>
    </row>
    <row r="31" spans="1:17">
      <c r="A31" t="s">
        <v>39</v>
      </c>
      <c r="C31">
        <f t="shared" si="0"/>
        <v>0</v>
      </c>
      <c r="D31">
        <f t="shared" si="1"/>
        <v>0</v>
      </c>
      <c r="E31">
        <f t="shared" si="2"/>
        <v>0</v>
      </c>
      <c r="F31">
        <f t="shared" ref="F31:H31" si="20">ROUND(F15*0.0098,3)</f>
        <v>0</v>
      </c>
      <c r="G31">
        <f t="shared" si="20"/>
        <v>0</v>
      </c>
      <c r="H31">
        <f t="shared" si="20"/>
        <v>0</v>
      </c>
      <c r="I31">
        <f t="shared" si="4"/>
        <v>0</v>
      </c>
      <c r="J31" s="4">
        <f t="shared" si="5"/>
        <v>0</v>
      </c>
      <c r="L31">
        <f t="shared" si="18"/>
        <v>0</v>
      </c>
      <c r="M31" t="e">
        <f t="shared" si="7"/>
        <v>#DIV/0!</v>
      </c>
      <c r="N31" t="e">
        <f t="shared" si="8"/>
        <v>#DIV/0!</v>
      </c>
      <c r="O31" t="e">
        <f t="shared" si="9"/>
        <v>#DIV/0!</v>
      </c>
      <c r="P31" t="e">
        <f t="shared" si="10"/>
        <v>#DIV/0!</v>
      </c>
      <c r="Q31" t="e">
        <f t="shared" si="11"/>
        <v>#DIV/0!</v>
      </c>
    </row>
    <row r="32" spans="1:17">
      <c r="A32" t="s">
        <v>40</v>
      </c>
      <c r="C32">
        <f t="shared" si="0"/>
        <v>0</v>
      </c>
      <c r="D32">
        <f t="shared" si="1"/>
        <v>0</v>
      </c>
      <c r="E32">
        <f t="shared" si="2"/>
        <v>0</v>
      </c>
      <c r="F32">
        <f t="shared" ref="F32:H32" si="21">ROUND(F16*0.0098,3)</f>
        <v>0</v>
      </c>
      <c r="G32">
        <f t="shared" si="21"/>
        <v>0</v>
      </c>
      <c r="H32">
        <f t="shared" si="21"/>
        <v>0</v>
      </c>
      <c r="I32">
        <f t="shared" si="4"/>
        <v>0</v>
      </c>
      <c r="J32" s="4">
        <f t="shared" si="5"/>
        <v>0</v>
      </c>
      <c r="L32">
        <f t="shared" si="18"/>
        <v>0</v>
      </c>
      <c r="M32" t="e">
        <f t="shared" si="7"/>
        <v>#DIV/0!</v>
      </c>
      <c r="N32" t="e">
        <f t="shared" si="8"/>
        <v>#DIV/0!</v>
      </c>
      <c r="O32" t="e">
        <f t="shared" si="9"/>
        <v>#DIV/0!</v>
      </c>
      <c r="P32" t="e">
        <f t="shared" si="10"/>
        <v>#DIV/0!</v>
      </c>
      <c r="Q32" t="e">
        <f t="shared" si="11"/>
        <v>#DIV/0!</v>
      </c>
    </row>
    <row r="33" spans="1:17">
      <c r="A33" t="s">
        <v>41</v>
      </c>
      <c r="C33">
        <f t="shared" si="0"/>
        <v>0</v>
      </c>
      <c r="D33">
        <f t="shared" si="1"/>
        <v>0</v>
      </c>
      <c r="E33">
        <f t="shared" si="2"/>
        <v>0</v>
      </c>
      <c r="F33">
        <f t="shared" ref="F33:H33" si="22">ROUND(F17*0.0098,3)</f>
        <v>0</v>
      </c>
      <c r="G33">
        <f t="shared" si="22"/>
        <v>0</v>
      </c>
      <c r="H33">
        <f t="shared" si="22"/>
        <v>0</v>
      </c>
      <c r="I33">
        <f t="shared" si="4"/>
        <v>0</v>
      </c>
      <c r="J33" s="4">
        <f t="shared" si="5"/>
        <v>0</v>
      </c>
      <c r="L33">
        <f t="shared" si="18"/>
        <v>0</v>
      </c>
      <c r="M33" t="e">
        <f t="shared" si="7"/>
        <v>#DIV/0!</v>
      </c>
      <c r="N33" t="e">
        <f t="shared" si="8"/>
        <v>#DIV/0!</v>
      </c>
      <c r="O33" t="e">
        <f t="shared" si="9"/>
        <v>#DIV/0!</v>
      </c>
      <c r="P33" t="e">
        <f t="shared" si="10"/>
        <v>#DIV/0!</v>
      </c>
      <c r="Q33" t="e">
        <f t="shared" si="11"/>
        <v>#DIV/0!</v>
      </c>
    </row>
    <row r="34" spans="1:17">
      <c r="A34" t="s">
        <v>42</v>
      </c>
      <c r="C34">
        <f t="shared" si="0"/>
        <v>0</v>
      </c>
      <c r="D34">
        <f t="shared" si="1"/>
        <v>0</v>
      </c>
      <c r="E34">
        <f t="shared" si="2"/>
        <v>0</v>
      </c>
      <c r="F34">
        <f t="shared" ref="F34:H34" si="23">ROUND(F18*0.0098,3)</f>
        <v>0</v>
      </c>
      <c r="G34">
        <f t="shared" si="23"/>
        <v>0</v>
      </c>
      <c r="H34">
        <f t="shared" si="23"/>
        <v>0</v>
      </c>
      <c r="I34">
        <f t="shared" si="4"/>
        <v>0</v>
      </c>
      <c r="J34" s="4">
        <f t="shared" si="5"/>
        <v>0</v>
      </c>
      <c r="L34">
        <f t="shared" si="18"/>
        <v>0</v>
      </c>
      <c r="M34" t="e">
        <f t="shared" si="7"/>
        <v>#DIV/0!</v>
      </c>
      <c r="N34" t="e">
        <f t="shared" si="8"/>
        <v>#DIV/0!</v>
      </c>
      <c r="O34" t="e">
        <f t="shared" si="9"/>
        <v>#DIV/0!</v>
      </c>
      <c r="P34" t="e">
        <f t="shared" si="10"/>
        <v>#DIV/0!</v>
      </c>
      <c r="Q34" t="e">
        <f t="shared" si="11"/>
        <v>#DIV/0!</v>
      </c>
    </row>
    <row r="35" spans="1:17">
      <c r="A35" t="s">
        <v>43</v>
      </c>
      <c r="C35">
        <f t="shared" si="0"/>
        <v>0</v>
      </c>
      <c r="D35">
        <f t="shared" si="1"/>
        <v>0</v>
      </c>
      <c r="E35">
        <f t="shared" si="2"/>
        <v>0</v>
      </c>
      <c r="F35">
        <f t="shared" ref="F35:H35" si="24">ROUND(F19*0.0098,3)</f>
        <v>0</v>
      </c>
      <c r="G35">
        <f t="shared" si="24"/>
        <v>0</v>
      </c>
      <c r="H35">
        <f t="shared" si="24"/>
        <v>0</v>
      </c>
      <c r="I35">
        <f t="shared" si="4"/>
        <v>0</v>
      </c>
      <c r="J35" s="4">
        <f t="shared" si="5"/>
        <v>0</v>
      </c>
      <c r="L35">
        <f t="shared" si="18"/>
        <v>0</v>
      </c>
      <c r="M35" t="e">
        <f t="shared" si="7"/>
        <v>#DIV/0!</v>
      </c>
      <c r="N35" t="e">
        <f t="shared" si="8"/>
        <v>#DIV/0!</v>
      </c>
      <c r="O35" t="e">
        <f t="shared" si="9"/>
        <v>#DIV/0!</v>
      </c>
      <c r="P35" t="e">
        <f t="shared" si="10"/>
        <v>#DIV/0!</v>
      </c>
      <c r="Q35" t="e">
        <f t="shared" si="11"/>
        <v>#DIV/0!</v>
      </c>
    </row>
  </sheetData>
  <protectedRanges>
    <protectedRange sqref="B5:Q19" name="输入数据"/>
  </protectedRange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删除">
          <controlPr defaultSize="0" autoLine="0" r:id="rId5">
            <anchor moveWithCells="1">
              <from>
                <xdr:col>0</xdr:col>
                <xdr:colOff>7620</xdr:colOff>
                <xdr:row>1</xdr:row>
                <xdr:rowOff>60960</xdr:rowOff>
              </from>
              <to>
                <xdr:col>0</xdr:col>
                <xdr:colOff>579120</xdr:colOff>
                <xdr:row>2</xdr:row>
                <xdr:rowOff>129540</xdr:rowOff>
              </to>
            </anchor>
          </controlPr>
        </control>
      </mc:Choice>
      <mc:Fallback>
        <control shapeId="25604" r:id="rId4" name="删除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>
      <selection activeCell="L21" sqref="L21"/>
    </sheetView>
  </sheetViews>
  <sheetFormatPr defaultRowHeight="13.8"/>
  <sheetData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5D455-D1B6-44B4-B9A3-DBE78E0F89EC}">
  <sheetPr codeName="Sheet3"/>
  <dimension ref="A1:AL13"/>
  <sheetViews>
    <sheetView workbookViewId="0">
      <selection activeCell="B17" sqref="B17"/>
    </sheetView>
  </sheetViews>
  <sheetFormatPr defaultRowHeight="13.8"/>
  <sheetData>
    <row r="1" spans="1:38">
      <c r="A1" t="s">
        <v>90</v>
      </c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</row>
    <row r="2" spans="1:38">
      <c r="A2">
        <v>1</v>
      </c>
      <c r="B2">
        <v>0.16800000000000001</v>
      </c>
      <c r="C2">
        <v>0.17199999999999999</v>
      </c>
      <c r="D2">
        <v>0.16800000000000001</v>
      </c>
      <c r="E2">
        <v>0.16900000000000001</v>
      </c>
      <c r="F2">
        <v>0.17100000000000001</v>
      </c>
      <c r="G2">
        <v>0.17100000000000001</v>
      </c>
      <c r="H2">
        <v>0.17</v>
      </c>
      <c r="I2">
        <v>0.14699999999999999</v>
      </c>
      <c r="J2">
        <v>0.14799999999999999</v>
      </c>
      <c r="K2">
        <v>0.16900000000000001</v>
      </c>
      <c r="L2">
        <v>0.17199999999999999</v>
      </c>
      <c r="M2">
        <v>0.151</v>
      </c>
      <c r="N2">
        <v>0.152</v>
      </c>
      <c r="O2">
        <v>1E-3</v>
      </c>
      <c r="P2">
        <v>0.17199999999999999</v>
      </c>
      <c r="Q2">
        <v>0.17</v>
      </c>
      <c r="R2">
        <v>0.14899999999999999</v>
      </c>
      <c r="S2">
        <v>0.15</v>
      </c>
      <c r="T2">
        <v>0.151</v>
      </c>
      <c r="U2">
        <v>0.152</v>
      </c>
      <c r="V2">
        <v>0.17299999999999999</v>
      </c>
      <c r="W2">
        <v>0.17199999999999999</v>
      </c>
      <c r="X2">
        <v>0.14899999999999999</v>
      </c>
      <c r="Y2">
        <v>0.152</v>
      </c>
      <c r="Z2">
        <v>0.151</v>
      </c>
    </row>
    <row r="3" spans="1:38">
      <c r="A3">
        <v>2</v>
      </c>
      <c r="B3">
        <v>0.81899999999999995</v>
      </c>
      <c r="C3">
        <v>0.81399999999999995</v>
      </c>
      <c r="D3">
        <v>0.81799999999999995</v>
      </c>
      <c r="E3">
        <v>0.81699999999999995</v>
      </c>
      <c r="F3">
        <v>0.81399999999999995</v>
      </c>
      <c r="G3">
        <v>0.81299999999999994</v>
      </c>
      <c r="H3">
        <v>0.81</v>
      </c>
      <c r="I3">
        <v>0.83599999999999997</v>
      </c>
      <c r="J3">
        <v>0.83599999999999997</v>
      </c>
      <c r="K3">
        <v>0.81299999999999994</v>
      </c>
      <c r="L3">
        <v>0.80500000000000005</v>
      </c>
      <c r="M3">
        <v>0.82599999999999996</v>
      </c>
      <c r="N3">
        <v>0.82799999999999996</v>
      </c>
      <c r="O3">
        <v>0.16900000000000001</v>
      </c>
      <c r="P3">
        <v>0.80900000000000005</v>
      </c>
      <c r="Q3">
        <v>0.80600000000000005</v>
      </c>
      <c r="R3">
        <v>0.83099999999999996</v>
      </c>
      <c r="S3">
        <v>0.83</v>
      </c>
      <c r="T3">
        <v>0.83099999999999996</v>
      </c>
      <c r="U3">
        <v>0.82799999999999996</v>
      </c>
      <c r="V3">
        <v>0.80600000000000005</v>
      </c>
      <c r="W3">
        <v>0.80700000000000005</v>
      </c>
      <c r="X3">
        <v>0.82899999999999996</v>
      </c>
      <c r="Y3">
        <v>0.83</v>
      </c>
      <c r="Z3">
        <v>0.82599999999999996</v>
      </c>
    </row>
    <row r="4" spans="1:38">
      <c r="A4">
        <v>3</v>
      </c>
      <c r="B4">
        <v>1.2999999999999999E-2</v>
      </c>
      <c r="C4">
        <v>1.4E-2</v>
      </c>
      <c r="D4">
        <v>1.4E-2</v>
      </c>
      <c r="E4">
        <v>1.4E-2</v>
      </c>
      <c r="F4">
        <v>1.6E-2</v>
      </c>
      <c r="G4">
        <v>1.6E-2</v>
      </c>
      <c r="H4">
        <v>1.9E-2</v>
      </c>
      <c r="I4">
        <v>1.7000000000000001E-2</v>
      </c>
      <c r="J4">
        <v>1.6E-2</v>
      </c>
      <c r="K4">
        <v>1.7999999999999999E-2</v>
      </c>
      <c r="L4">
        <v>2.1999999999999999E-2</v>
      </c>
      <c r="M4">
        <v>2.3E-2</v>
      </c>
      <c r="N4">
        <v>0.02</v>
      </c>
      <c r="O4">
        <v>0.81</v>
      </c>
      <c r="P4">
        <v>0.02</v>
      </c>
      <c r="Q4">
        <v>2.4E-2</v>
      </c>
      <c r="R4">
        <v>0.02</v>
      </c>
      <c r="S4">
        <v>0.02</v>
      </c>
      <c r="T4">
        <v>1.7999999999999999E-2</v>
      </c>
      <c r="U4">
        <v>0.02</v>
      </c>
      <c r="V4">
        <v>2.1000000000000001E-2</v>
      </c>
      <c r="W4">
        <v>2.1999999999999999E-2</v>
      </c>
      <c r="X4">
        <v>2.1999999999999999E-2</v>
      </c>
      <c r="Y4">
        <v>1.9E-2</v>
      </c>
      <c r="Z4">
        <v>2.1999999999999999E-2</v>
      </c>
    </row>
    <row r="5" spans="1:38">
      <c r="A5">
        <v>4</v>
      </c>
      <c r="E5">
        <v>0</v>
      </c>
      <c r="J5">
        <v>0</v>
      </c>
      <c r="L5">
        <v>0</v>
      </c>
      <c r="N5">
        <v>0</v>
      </c>
      <c r="O5">
        <v>0.02</v>
      </c>
      <c r="S5">
        <v>0</v>
      </c>
      <c r="X5">
        <v>0</v>
      </c>
    </row>
    <row r="6" spans="1:38">
      <c r="A6">
        <v>5</v>
      </c>
      <c r="D6">
        <v>0</v>
      </c>
      <c r="N6">
        <v>2E-3</v>
      </c>
    </row>
    <row r="8" spans="1:38">
      <c r="B8" s="21" t="s">
        <v>86</v>
      </c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</row>
    <row r="9" spans="1:38"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38">
      <c r="B10" s="18" t="str">
        <f>B1</f>
        <v>FA-1.1</v>
      </c>
      <c r="C10" s="18" t="str">
        <f t="shared" ref="C10:AL10" si="0">C1</f>
        <v>FA-2.1</v>
      </c>
      <c r="D10" s="18" t="str">
        <f t="shared" si="0"/>
        <v>FA-3.1</v>
      </c>
      <c r="E10" s="18" t="str">
        <f t="shared" si="0"/>
        <v>FA-4.1</v>
      </c>
      <c r="F10" s="18" t="str">
        <f t="shared" si="0"/>
        <v>FA-5.1</v>
      </c>
      <c r="G10" s="18" t="str">
        <f t="shared" si="0"/>
        <v>FB-1.1</v>
      </c>
      <c r="H10" s="18" t="str">
        <f t="shared" si="0"/>
        <v>FB-2.1</v>
      </c>
      <c r="I10" s="18" t="str">
        <f t="shared" si="0"/>
        <v>FB-3.1</v>
      </c>
      <c r="J10" s="18" t="str">
        <f t="shared" si="0"/>
        <v>FB-4.1</v>
      </c>
      <c r="K10" s="18" t="str">
        <f t="shared" si="0"/>
        <v>FB-5.1</v>
      </c>
      <c r="L10" s="18" t="str">
        <f t="shared" si="0"/>
        <v>FC-1.1</v>
      </c>
      <c r="M10" s="18" t="str">
        <f t="shared" si="0"/>
        <v>FC-2.1</v>
      </c>
      <c r="N10" s="18" t="str">
        <f t="shared" si="0"/>
        <v>FC-3.1</v>
      </c>
      <c r="O10" s="18" t="str">
        <f t="shared" si="0"/>
        <v>FC-4.1</v>
      </c>
      <c r="P10" s="18" t="str">
        <f t="shared" si="0"/>
        <v>FC-5.1</v>
      </c>
      <c r="Q10" s="18" t="str">
        <f t="shared" si="0"/>
        <v>FD-1.1</v>
      </c>
      <c r="R10" s="18" t="str">
        <f t="shared" si="0"/>
        <v>FD-2.1</v>
      </c>
      <c r="S10" s="18" t="str">
        <f t="shared" si="0"/>
        <v>FD-3.1</v>
      </c>
      <c r="T10" s="18" t="str">
        <f t="shared" si="0"/>
        <v>FD-4.1</v>
      </c>
      <c r="U10" s="18" t="str">
        <f t="shared" si="0"/>
        <v>FD-5.1</v>
      </c>
      <c r="V10" s="18" t="str">
        <f t="shared" si="0"/>
        <v>FE-1.1</v>
      </c>
      <c r="W10" s="18" t="str">
        <f t="shared" si="0"/>
        <v>FE-2.1</v>
      </c>
      <c r="X10" s="18" t="str">
        <f t="shared" si="0"/>
        <v>FE-3.1</v>
      </c>
      <c r="Y10" s="18" t="str">
        <f t="shared" si="0"/>
        <v>FE-4.1</v>
      </c>
      <c r="Z10" s="18" t="str">
        <f t="shared" si="0"/>
        <v>FE-5.1</v>
      </c>
      <c r="AA10" s="18">
        <f t="shared" si="0"/>
        <v>0</v>
      </c>
      <c r="AB10" s="18">
        <f t="shared" si="0"/>
        <v>0</v>
      </c>
      <c r="AC10" s="18">
        <f t="shared" si="0"/>
        <v>0</v>
      </c>
      <c r="AD10" s="18">
        <f t="shared" si="0"/>
        <v>0</v>
      </c>
      <c r="AE10" s="18">
        <f t="shared" si="0"/>
        <v>0</v>
      </c>
      <c r="AF10" s="18">
        <f t="shared" si="0"/>
        <v>0</v>
      </c>
      <c r="AG10" s="18">
        <f t="shared" si="0"/>
        <v>0</v>
      </c>
      <c r="AH10" s="18">
        <f t="shared" si="0"/>
        <v>0</v>
      </c>
      <c r="AI10" s="18">
        <f t="shared" si="0"/>
        <v>0</v>
      </c>
      <c r="AJ10" s="18">
        <f t="shared" si="0"/>
        <v>0</v>
      </c>
      <c r="AK10" s="18">
        <f t="shared" si="0"/>
        <v>0</v>
      </c>
      <c r="AL10" s="18">
        <f t="shared" si="0"/>
        <v>0</v>
      </c>
    </row>
    <row r="11" spans="1:38">
      <c r="A11" t="s">
        <v>87</v>
      </c>
      <c r="B11">
        <f>IF(B2&lt;0.1,B2+B3,B2)</f>
        <v>0.16800000000000001</v>
      </c>
      <c r="C11">
        <f t="shared" ref="C11:AA11" si="1">IF(C2&lt;0.1,C2+C3,C2)</f>
        <v>0.17199999999999999</v>
      </c>
      <c r="D11">
        <f t="shared" si="1"/>
        <v>0.16800000000000001</v>
      </c>
      <c r="E11">
        <f t="shared" si="1"/>
        <v>0.16900000000000001</v>
      </c>
      <c r="F11">
        <f t="shared" si="1"/>
        <v>0.17100000000000001</v>
      </c>
      <c r="G11">
        <f t="shared" si="1"/>
        <v>0.17100000000000001</v>
      </c>
      <c r="H11">
        <f t="shared" si="1"/>
        <v>0.17</v>
      </c>
      <c r="I11">
        <f t="shared" si="1"/>
        <v>0.14699999999999999</v>
      </c>
      <c r="J11">
        <f t="shared" si="1"/>
        <v>0.14799999999999999</v>
      </c>
      <c r="K11">
        <f t="shared" si="1"/>
        <v>0.16900000000000001</v>
      </c>
      <c r="L11">
        <f t="shared" si="1"/>
        <v>0.17199999999999999</v>
      </c>
      <c r="M11">
        <f t="shared" si="1"/>
        <v>0.151</v>
      </c>
      <c r="N11">
        <f t="shared" si="1"/>
        <v>0.152</v>
      </c>
      <c r="O11">
        <f t="shared" si="1"/>
        <v>0.17</v>
      </c>
      <c r="P11">
        <f t="shared" si="1"/>
        <v>0.17199999999999999</v>
      </c>
      <c r="Q11">
        <f t="shared" si="1"/>
        <v>0.17</v>
      </c>
      <c r="R11">
        <f t="shared" si="1"/>
        <v>0.14899999999999999</v>
      </c>
      <c r="S11">
        <f t="shared" si="1"/>
        <v>0.15</v>
      </c>
      <c r="T11">
        <f t="shared" si="1"/>
        <v>0.151</v>
      </c>
      <c r="U11">
        <f t="shared" si="1"/>
        <v>0.152</v>
      </c>
      <c r="V11">
        <f t="shared" si="1"/>
        <v>0.17299999999999999</v>
      </c>
      <c r="W11">
        <f t="shared" si="1"/>
        <v>0.17199999999999999</v>
      </c>
      <c r="X11">
        <f t="shared" si="1"/>
        <v>0.14899999999999999</v>
      </c>
      <c r="Y11">
        <f t="shared" si="1"/>
        <v>0.152</v>
      </c>
      <c r="Z11">
        <f t="shared" si="1"/>
        <v>0.151</v>
      </c>
      <c r="AA11">
        <f t="shared" si="1"/>
        <v>0</v>
      </c>
      <c r="AB11">
        <f>IF(AB2&lt;0.1,AB2+AB3,AB2)</f>
        <v>0</v>
      </c>
      <c r="AC11">
        <f t="shared" ref="AC11:AL11" si="2">IF(AC2&lt;0.1,AC2+AC3,AC2)</f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  <c r="AJ11">
        <f t="shared" si="2"/>
        <v>0</v>
      </c>
      <c r="AK11">
        <f t="shared" si="2"/>
        <v>0</v>
      </c>
      <c r="AL11">
        <f t="shared" si="2"/>
        <v>0</v>
      </c>
    </row>
    <row r="12" spans="1:38">
      <c r="A12" t="s">
        <v>88</v>
      </c>
      <c r="B12">
        <f>IF(B3&lt;0.5,B4,B3)</f>
        <v>0.81899999999999995</v>
      </c>
      <c r="C12">
        <f t="shared" ref="C12:AA12" si="3">IF(C3&lt;0.5,C4,C3)</f>
        <v>0.81399999999999995</v>
      </c>
      <c r="D12">
        <f t="shared" si="3"/>
        <v>0.81799999999999995</v>
      </c>
      <c r="E12">
        <f t="shared" si="3"/>
        <v>0.81699999999999995</v>
      </c>
      <c r="F12">
        <f t="shared" si="3"/>
        <v>0.81399999999999995</v>
      </c>
      <c r="G12">
        <f t="shared" si="3"/>
        <v>0.81299999999999994</v>
      </c>
      <c r="H12">
        <f t="shared" si="3"/>
        <v>0.81</v>
      </c>
      <c r="I12">
        <f t="shared" si="3"/>
        <v>0.83599999999999997</v>
      </c>
      <c r="J12">
        <f t="shared" si="3"/>
        <v>0.83599999999999997</v>
      </c>
      <c r="K12">
        <f t="shared" si="3"/>
        <v>0.81299999999999994</v>
      </c>
      <c r="L12">
        <f t="shared" si="3"/>
        <v>0.80500000000000005</v>
      </c>
      <c r="M12">
        <f t="shared" si="3"/>
        <v>0.82599999999999996</v>
      </c>
      <c r="N12">
        <f t="shared" si="3"/>
        <v>0.82799999999999996</v>
      </c>
      <c r="O12">
        <f t="shared" si="3"/>
        <v>0.81</v>
      </c>
      <c r="P12">
        <f t="shared" si="3"/>
        <v>0.80900000000000005</v>
      </c>
      <c r="Q12">
        <f t="shared" si="3"/>
        <v>0.80600000000000005</v>
      </c>
      <c r="R12">
        <f t="shared" si="3"/>
        <v>0.83099999999999996</v>
      </c>
      <c r="S12">
        <f t="shared" si="3"/>
        <v>0.83</v>
      </c>
      <c r="T12">
        <f t="shared" si="3"/>
        <v>0.83099999999999996</v>
      </c>
      <c r="U12">
        <f t="shared" si="3"/>
        <v>0.82799999999999996</v>
      </c>
      <c r="V12">
        <f t="shared" si="3"/>
        <v>0.80600000000000005</v>
      </c>
      <c r="W12">
        <f t="shared" si="3"/>
        <v>0.80700000000000005</v>
      </c>
      <c r="X12">
        <f t="shared" si="3"/>
        <v>0.82899999999999996</v>
      </c>
      <c r="Y12">
        <f t="shared" si="3"/>
        <v>0.83</v>
      </c>
      <c r="Z12">
        <f t="shared" si="3"/>
        <v>0.82599999999999996</v>
      </c>
      <c r="AA12">
        <f t="shared" si="3"/>
        <v>0</v>
      </c>
      <c r="AB12">
        <f>IF(AB3&lt;0.5,AB4,AB3)</f>
        <v>0</v>
      </c>
      <c r="AC12">
        <f t="shared" ref="AC12:AL12" si="4">IF(AC3&lt;0.5,AC4,AC3)</f>
        <v>0</v>
      </c>
      <c r="AD12">
        <f t="shared" si="4"/>
        <v>0</v>
      </c>
      <c r="AE12">
        <f t="shared" si="4"/>
        <v>0</v>
      </c>
      <c r="AF12">
        <f t="shared" si="4"/>
        <v>0</v>
      </c>
      <c r="AG12">
        <f t="shared" si="4"/>
        <v>0</v>
      </c>
      <c r="AH12">
        <f t="shared" si="4"/>
        <v>0</v>
      </c>
      <c r="AI12">
        <f t="shared" si="4"/>
        <v>0</v>
      </c>
      <c r="AJ12">
        <f t="shared" si="4"/>
        <v>0</v>
      </c>
      <c r="AK12">
        <f t="shared" si="4"/>
        <v>0</v>
      </c>
      <c r="AL12">
        <f t="shared" si="4"/>
        <v>0</v>
      </c>
    </row>
    <row r="13" spans="1:38">
      <c r="A13" t="s">
        <v>89</v>
      </c>
      <c r="B13">
        <f>IF(B4&gt;0.5,B5+B6+B7,B4+B5+B6+B7)</f>
        <v>1.2999999999999999E-2</v>
      </c>
      <c r="C13">
        <f t="shared" ref="C13:AA13" si="5">IF(C4&gt;0.5,C5+C6+C7,C4+C5+C6+C7)</f>
        <v>1.4E-2</v>
      </c>
      <c r="D13">
        <f t="shared" si="5"/>
        <v>1.4E-2</v>
      </c>
      <c r="E13">
        <f t="shared" si="5"/>
        <v>1.4E-2</v>
      </c>
      <c r="F13">
        <f t="shared" si="5"/>
        <v>1.6E-2</v>
      </c>
      <c r="G13">
        <f t="shared" si="5"/>
        <v>1.6E-2</v>
      </c>
      <c r="H13">
        <f t="shared" si="5"/>
        <v>1.9E-2</v>
      </c>
      <c r="I13">
        <f t="shared" si="5"/>
        <v>1.7000000000000001E-2</v>
      </c>
      <c r="J13">
        <f t="shared" si="5"/>
        <v>1.6E-2</v>
      </c>
      <c r="K13">
        <f t="shared" si="5"/>
        <v>1.7999999999999999E-2</v>
      </c>
      <c r="L13">
        <f t="shared" si="5"/>
        <v>2.1999999999999999E-2</v>
      </c>
      <c r="M13">
        <f t="shared" si="5"/>
        <v>2.3E-2</v>
      </c>
      <c r="N13">
        <f t="shared" si="5"/>
        <v>2.1999999999999999E-2</v>
      </c>
      <c r="O13">
        <f t="shared" si="5"/>
        <v>0.02</v>
      </c>
      <c r="P13">
        <f t="shared" si="5"/>
        <v>0.02</v>
      </c>
      <c r="Q13">
        <f t="shared" si="5"/>
        <v>2.4E-2</v>
      </c>
      <c r="R13">
        <f t="shared" si="5"/>
        <v>0.02</v>
      </c>
      <c r="S13">
        <f t="shared" si="5"/>
        <v>0.02</v>
      </c>
      <c r="T13">
        <f t="shared" si="5"/>
        <v>1.7999999999999999E-2</v>
      </c>
      <c r="U13">
        <f t="shared" si="5"/>
        <v>0.02</v>
      </c>
      <c r="V13">
        <f t="shared" si="5"/>
        <v>2.1000000000000001E-2</v>
      </c>
      <c r="W13">
        <f t="shared" si="5"/>
        <v>2.1999999999999999E-2</v>
      </c>
      <c r="X13">
        <f t="shared" si="5"/>
        <v>2.1999999999999999E-2</v>
      </c>
      <c r="Y13">
        <f t="shared" si="5"/>
        <v>1.9E-2</v>
      </c>
      <c r="Z13">
        <f t="shared" si="5"/>
        <v>2.1999999999999999E-2</v>
      </c>
      <c r="AA13">
        <f t="shared" si="5"/>
        <v>0</v>
      </c>
      <c r="AB13">
        <f>IF(AB4&gt;0.5,AB5+AB6+AB7,AB4+AB5+AB6+AB7)</f>
        <v>0</v>
      </c>
      <c r="AC13">
        <f t="shared" ref="AC13:AL13" si="6">IF(AC4&gt;0.5,AC5+AC6+AC7,AC4+AC5+AC6+AC7)</f>
        <v>0</v>
      </c>
      <c r="AD13">
        <f t="shared" si="6"/>
        <v>0</v>
      </c>
      <c r="AE13">
        <f t="shared" si="6"/>
        <v>0</v>
      </c>
      <c r="AF13">
        <f t="shared" si="6"/>
        <v>0</v>
      </c>
      <c r="AG13">
        <f t="shared" si="6"/>
        <v>0</v>
      </c>
      <c r="AH13">
        <f t="shared" si="6"/>
        <v>0</v>
      </c>
      <c r="AI13">
        <f t="shared" si="6"/>
        <v>0</v>
      </c>
      <c r="AJ13">
        <f t="shared" si="6"/>
        <v>0</v>
      </c>
      <c r="AK13">
        <f t="shared" si="6"/>
        <v>0</v>
      </c>
      <c r="AL13">
        <f t="shared" si="6"/>
        <v>0</v>
      </c>
    </row>
  </sheetData>
  <mergeCells count="1">
    <mergeCell ref="B8:U9"/>
  </mergeCells>
  <phoneticPr fontId="3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DEMO</vt:lpstr>
      <vt:lpstr>数据</vt:lpstr>
      <vt:lpstr>合并结果</vt:lpstr>
      <vt:lpstr>分列结果</vt:lpstr>
      <vt:lpstr>Sheet1</vt:lpstr>
      <vt:lpstr>显著性提取</vt:lpstr>
      <vt:lpstr>显著性格式整理</vt:lpstr>
      <vt:lpstr>微生物的计算</vt:lpstr>
      <vt:lpstr>质构转化</vt:lpstr>
      <vt:lpstr>色差计算</vt:lpstr>
      <vt:lpstr>低场核磁比例计算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JiangZJ</dc:creator>
  <cp:lastModifiedBy>Zhaojing Jiang</cp:lastModifiedBy>
  <dcterms:created xsi:type="dcterms:W3CDTF">2020-02-22T07:29:27Z</dcterms:created>
  <dcterms:modified xsi:type="dcterms:W3CDTF">2023-12-01T04:57:32Z</dcterms:modified>
</cp:coreProperties>
</file>