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代码/EXCEL/"/>
    </mc:Choice>
  </mc:AlternateContent>
  <xr:revisionPtr revIDLastSave="22" documentId="13_ncr:1_{4F1E215A-7328-4A0B-AE0D-F5C65A42892F}" xr6:coauthVersionLast="47" xr6:coauthVersionMax="47" xr10:uidLastSave="{6FCA95D4-822F-45D8-8209-E5EA6849D456}"/>
  <bookViews>
    <workbookView xWindow="12756" yWindow="5940" windowWidth="14316" windowHeight="8892" activeTab="3" xr2:uid="{00000000-000D-0000-FFFF-FFFF00000000}"/>
  </bookViews>
  <sheets>
    <sheet name="DEMO" sheetId="17" r:id="rId1"/>
    <sheet name="数据" sheetId="1" r:id="rId2"/>
    <sheet name="输出结果" sheetId="35" r:id="rId3"/>
    <sheet name="转置后数据" sheetId="37" r:id="rId4"/>
    <sheet name="合并结果" sheetId="36" r:id="rId5"/>
    <sheet name="显著性提取" sheetId="33" r:id="rId6"/>
    <sheet name="显著性格式整理" sheetId="34" r:id="rId7"/>
    <sheet name="微生物的计算" sheetId="30" r:id="rId8"/>
  </sheets>
  <functionGroups builtInGroupCount="19"/>
  <definedNames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33" l="1"/>
  <c r="Q5" i="33"/>
  <c r="Q6" i="33"/>
  <c r="Q7" i="33"/>
  <c r="Q8" i="33"/>
  <c r="Q9" i="33"/>
  <c r="Q10" i="33"/>
  <c r="Q11" i="33"/>
  <c r="Q12" i="33"/>
  <c r="Q3" i="33"/>
</calcChain>
</file>

<file path=xl/sharedStrings.xml><?xml version="1.0" encoding="utf-8"?>
<sst xmlns="http://schemas.openxmlformats.org/spreadsheetml/2006/main" count="360" uniqueCount="120">
  <si>
    <t/>
  </si>
  <si>
    <t>a</t>
  </si>
  <si>
    <t>c</t>
  </si>
  <si>
    <t>b</t>
  </si>
  <si>
    <t>ab</t>
  </si>
  <si>
    <t>j0</t>
  </si>
  <si>
    <t>jm</t>
  </si>
  <si>
    <t>r</t>
  </si>
  <si>
    <t>n0</t>
  </si>
  <si>
    <t>0-min</t>
  </si>
  <si>
    <t>15-min</t>
  </si>
  <si>
    <t>30-min</t>
  </si>
  <si>
    <t>45-min</t>
  </si>
  <si>
    <t>60-min</t>
  </si>
  <si>
    <t>CG-0-min</t>
  </si>
  <si>
    <t>CG-15-min</t>
  </si>
  <si>
    <t>CG-30-min</t>
  </si>
  <si>
    <t>CG-45-min</t>
  </si>
  <si>
    <t>CG-60-min</t>
  </si>
  <si>
    <t>均值</t>
  </si>
  <si>
    <t>分组</t>
  </si>
  <si>
    <t>A</t>
  </si>
  <si>
    <t>B</t>
  </si>
  <si>
    <t>C</t>
  </si>
  <si>
    <t>BC</t>
  </si>
  <si>
    <t>D</t>
  </si>
  <si>
    <t>E</t>
  </si>
  <si>
    <t>F</t>
  </si>
  <si>
    <t>G</t>
  </si>
  <si>
    <t>DE</t>
  </si>
  <si>
    <t>EF</t>
  </si>
  <si>
    <t>BCD</t>
  </si>
  <si>
    <t>ABC</t>
  </si>
  <si>
    <t>AB</t>
  </si>
  <si>
    <t>CD</t>
  </si>
  <si>
    <t>FG</t>
  </si>
  <si>
    <r>
      <t>28.01±0.68</t>
    </r>
    <r>
      <rPr>
        <vertAlign val="superscript"/>
        <sz val="11"/>
        <color theme="1"/>
        <rFont val="等线"/>
        <family val="3"/>
        <charset val="134"/>
        <scheme val="minor"/>
      </rPr>
      <t>bc</t>
    </r>
  </si>
  <si>
    <r>
      <t>24.03±2.58</t>
    </r>
    <r>
      <rPr>
        <vertAlign val="superscript"/>
        <sz val="11"/>
        <color theme="1"/>
        <rFont val="等线"/>
        <family val="3"/>
        <charset val="134"/>
        <scheme val="minor"/>
      </rPr>
      <t>g</t>
    </r>
  </si>
  <si>
    <r>
      <t>5.35±0.03</t>
    </r>
    <r>
      <rPr>
        <vertAlign val="superscript"/>
        <sz val="11"/>
        <color theme="1"/>
        <rFont val="等线"/>
        <family val="3"/>
        <charset val="134"/>
        <scheme val="minor"/>
      </rPr>
      <t>bcd</t>
    </r>
  </si>
  <si>
    <r>
      <t>1.96±0.16</t>
    </r>
    <r>
      <rPr>
        <vertAlign val="superscript"/>
        <sz val="11"/>
        <color theme="1"/>
        <rFont val="等线"/>
        <family val="3"/>
        <charset val="134"/>
        <scheme val="minor"/>
      </rPr>
      <t>b</t>
    </r>
  </si>
  <si>
    <r>
      <t>56.43±4.88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</si>
  <si>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50.64±1.48</t>
    </r>
    <r>
      <rPr>
        <vertAlign val="superscript"/>
        <sz val="11"/>
        <color theme="1"/>
        <rFont val="等线"/>
        <family val="3"/>
        <charset val="134"/>
        <scheme val="minor"/>
      </rPr>
      <t>de</t>
    </r>
  </si>
  <si>
    <r>
      <t>6.10±0.33</t>
    </r>
    <r>
      <rPr>
        <vertAlign val="superscript"/>
        <sz val="11"/>
        <color theme="1"/>
        <rFont val="等线"/>
        <family val="3"/>
        <charset val="134"/>
        <scheme val="minor"/>
      </rPr>
      <t>abc</t>
    </r>
  </si>
  <si>
    <r>
      <t>0.78±0.04</t>
    </r>
    <r>
      <rPr>
        <vertAlign val="superscript"/>
        <sz val="11"/>
        <color theme="1"/>
        <rFont val="等线"/>
        <family val="3"/>
        <charset val="134"/>
        <scheme val="minor"/>
      </rPr>
      <t>ef</t>
    </r>
  </si>
  <si>
    <r>
      <t>39.11±8.37</t>
    </r>
    <r>
      <rPr>
        <vertAlign val="superscript"/>
        <sz val="11"/>
        <color theme="1"/>
        <rFont val="等线"/>
        <family val="3"/>
        <charset val="134"/>
        <scheme val="minor"/>
      </rPr>
      <t>b</t>
    </r>
  </si>
  <si>
    <r>
      <t>76.28±3.63</t>
    </r>
    <r>
      <rPr>
        <vertAlign val="superscript"/>
        <sz val="11"/>
        <color theme="1"/>
        <rFont val="等线"/>
        <family val="3"/>
        <charset val="134"/>
        <scheme val="minor"/>
      </rPr>
      <t>c</t>
    </r>
  </si>
  <si>
    <r>
      <t>6.52±0.88</t>
    </r>
    <r>
      <rPr>
        <vertAlign val="superscript"/>
        <sz val="11"/>
        <color theme="1"/>
        <rFont val="等线"/>
        <family val="3"/>
        <charset val="134"/>
        <scheme val="minor"/>
      </rPr>
      <t>ab</t>
    </r>
  </si>
  <si>
    <r>
      <t>0.42±0.02</t>
    </r>
    <r>
      <rPr>
        <vertAlign val="superscript"/>
        <sz val="11"/>
        <color theme="1"/>
        <rFont val="等线"/>
        <family val="3"/>
        <charset val="134"/>
        <scheme val="minor"/>
      </rPr>
      <t>fg</t>
    </r>
  </si>
  <si>
    <r>
      <t>23.98±0.98</t>
    </r>
    <r>
      <rPr>
        <vertAlign val="superscript"/>
        <sz val="11"/>
        <color theme="1"/>
        <rFont val="等线"/>
        <family val="3"/>
        <charset val="134"/>
        <scheme val="minor"/>
      </rPr>
      <t>c</t>
    </r>
  </si>
  <si>
    <r>
      <t>101.81±7.14</t>
    </r>
    <r>
      <rPr>
        <vertAlign val="superscript"/>
        <sz val="11"/>
        <color theme="1"/>
        <rFont val="等线"/>
        <family val="3"/>
        <charset val="134"/>
        <scheme val="minor"/>
      </rPr>
      <t>b</t>
    </r>
  </si>
  <si>
    <r>
      <t>7.23±0.59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</si>
  <si>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0.35±0.01</t>
    </r>
    <r>
      <rPr>
        <vertAlign val="superscript"/>
        <sz val="11"/>
        <color theme="1"/>
        <rFont val="等线"/>
        <family val="3"/>
        <charset val="134"/>
        <scheme val="minor"/>
      </rPr>
      <t>g</t>
    </r>
  </si>
  <si>
    <r>
      <t>58.52±1.40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</si>
  <si>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121.60±1.45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</si>
  <si>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7.51±0.37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</si>
  <si>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0.29±0.01</t>
    </r>
    <r>
      <rPr>
        <vertAlign val="superscript"/>
        <sz val="11"/>
        <color theme="1"/>
        <rFont val="等线"/>
        <family val="3"/>
        <charset val="134"/>
        <scheme val="minor"/>
      </rPr>
      <t>g</t>
    </r>
  </si>
  <si>
    <r>
      <t>30.01±0.13</t>
    </r>
    <r>
      <rPr>
        <vertAlign val="superscript"/>
        <sz val="11"/>
        <color theme="1"/>
        <rFont val="等线"/>
        <family val="3"/>
        <charset val="134"/>
        <scheme val="minor"/>
      </rPr>
      <t>bc</t>
    </r>
  </si>
  <si>
    <r>
      <t>23.40±2.41</t>
    </r>
    <r>
      <rPr>
        <vertAlign val="superscript"/>
        <sz val="11"/>
        <color theme="1"/>
        <rFont val="等线"/>
        <family val="3"/>
        <charset val="134"/>
        <scheme val="minor"/>
      </rPr>
      <t>g</t>
    </r>
  </si>
  <si>
    <r>
      <t>4.79±0.25</t>
    </r>
    <r>
      <rPr>
        <vertAlign val="superscript"/>
        <sz val="11"/>
        <color theme="1"/>
        <rFont val="等线"/>
        <family val="3"/>
        <charset val="134"/>
        <scheme val="minor"/>
      </rPr>
      <t>cd</t>
    </r>
  </si>
  <si>
    <r>
      <t>2.86±0.25</t>
    </r>
    <r>
      <rPr>
        <vertAlign val="superscript"/>
        <sz val="11"/>
        <color theme="1"/>
        <rFont val="等线"/>
        <family val="3"/>
        <charset val="134"/>
        <scheme val="minor"/>
      </rPr>
      <t>a</t>
    </r>
  </si>
  <si>
    <r>
      <t>30.04±0.28</t>
    </r>
    <r>
      <rPr>
        <vertAlign val="superscript"/>
        <sz val="11"/>
        <color theme="1"/>
        <rFont val="等线"/>
        <family val="3"/>
        <charset val="134"/>
        <scheme val="minor"/>
      </rPr>
      <t>bc</t>
    </r>
  </si>
  <si>
    <r>
      <t>37.46±3.17</t>
    </r>
    <r>
      <rPr>
        <vertAlign val="superscript"/>
        <sz val="11"/>
        <color theme="1"/>
        <rFont val="等线"/>
        <family val="3"/>
        <charset val="134"/>
        <scheme val="minor"/>
      </rPr>
      <t>f</t>
    </r>
  </si>
  <si>
    <r>
      <t>4.36±0.16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</si>
  <si>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1.85±0.13</t>
    </r>
    <r>
      <rPr>
        <vertAlign val="superscript"/>
        <sz val="11"/>
        <color theme="1"/>
        <rFont val="等线"/>
        <family val="3"/>
        <charset val="134"/>
        <scheme val="minor"/>
      </rPr>
      <t>b</t>
    </r>
  </si>
  <si>
    <r>
      <t>25.03±3.18</t>
    </r>
    <r>
      <rPr>
        <vertAlign val="superscript"/>
        <sz val="11"/>
        <color theme="1"/>
        <rFont val="等线"/>
        <family val="3"/>
        <charset val="134"/>
        <scheme val="minor"/>
      </rPr>
      <t>c</t>
    </r>
  </si>
  <si>
    <r>
      <t>44.84±0.18</t>
    </r>
    <r>
      <rPr>
        <vertAlign val="superscript"/>
        <sz val="11"/>
        <color theme="1"/>
        <rFont val="等线"/>
        <family val="3"/>
        <charset val="134"/>
        <scheme val="minor"/>
      </rPr>
      <t>ef</t>
    </r>
  </si>
  <si>
    <r>
      <t>4.31±0.03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</si>
  <si>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1.59±0.02</t>
    </r>
    <r>
      <rPr>
        <vertAlign val="superscript"/>
        <sz val="11"/>
        <color theme="1"/>
        <rFont val="等线"/>
        <family val="3"/>
        <charset val="134"/>
        <scheme val="minor"/>
      </rPr>
      <t>bc</t>
    </r>
  </si>
  <si>
    <r>
      <t>32.36±1.93</t>
    </r>
    <r>
      <rPr>
        <vertAlign val="superscript"/>
        <sz val="11"/>
        <color theme="1"/>
        <rFont val="等线"/>
        <family val="3"/>
        <charset val="134"/>
        <scheme val="minor"/>
      </rPr>
      <t>bc</t>
    </r>
  </si>
  <si>
    <r>
      <t>58.71±1.06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</si>
  <si>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4.16±0.04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</si>
  <si>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1.25±0.01</t>
    </r>
    <r>
      <rPr>
        <vertAlign val="superscript"/>
        <sz val="11"/>
        <color theme="1"/>
        <rFont val="等线"/>
        <family val="3"/>
        <charset val="134"/>
        <scheme val="minor"/>
      </rPr>
      <t>cd</t>
    </r>
  </si>
  <si>
    <r>
      <t>25.02±1.20</t>
    </r>
    <r>
      <rPr>
        <vertAlign val="superscript"/>
        <sz val="11"/>
        <color theme="1"/>
        <rFont val="等线"/>
        <family val="3"/>
        <charset val="134"/>
        <scheme val="minor"/>
      </rPr>
      <t>c</t>
    </r>
  </si>
  <si>
    <r>
      <t>62.48±2.30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</si>
  <si>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4.26±0.02</t>
    </r>
    <r>
      <rPr>
        <vertAlign val="superscript"/>
        <sz val="11"/>
        <color theme="1"/>
        <rFont val="等线"/>
        <family val="3"/>
        <charset val="134"/>
        <scheme val="minor"/>
      </rPr>
      <t>d</t>
    </r>
  </si>
  <si>
    <r>
      <t>1.15±0.05</t>
    </r>
    <r>
      <rPr>
        <vertAlign val="superscript"/>
        <sz val="11"/>
        <color theme="1"/>
        <rFont val="等线"/>
        <family val="3"/>
        <charset val="134"/>
        <scheme val="minor"/>
      </rPr>
      <t>de</t>
    </r>
  </si>
  <si>
    <t>bc</t>
  </si>
  <si>
    <t>g</t>
  </si>
  <si>
    <t>bcd</t>
  </si>
  <si>
    <t>de</t>
  </si>
  <si>
    <t>abc</t>
  </si>
  <si>
    <t>ef</t>
  </si>
  <si>
    <t>fg</t>
  </si>
  <si>
    <t>cd</t>
  </si>
  <si>
    <t>f</t>
  </si>
  <si>
    <t>d</t>
  </si>
  <si>
    <t>0-min-1</t>
  </si>
  <si>
    <t>0-min-2</t>
  </si>
  <si>
    <t>15-min-1</t>
  </si>
  <si>
    <t>15-min-2</t>
  </si>
  <si>
    <t>30-min-1</t>
  </si>
  <si>
    <t>30-min-2</t>
  </si>
  <si>
    <t>45-min-1</t>
  </si>
  <si>
    <t>45-min-2</t>
  </si>
  <si>
    <t>60-min-1</t>
  </si>
  <si>
    <t>60-min-2</t>
  </si>
  <si>
    <t>C0-min-1</t>
  </si>
  <si>
    <t>C0-min-2</t>
  </si>
  <si>
    <t>C15-min-1</t>
  </si>
  <si>
    <t>C15-min-2</t>
  </si>
  <si>
    <t>C30-min-1</t>
  </si>
  <si>
    <t>C30-min-2</t>
  </si>
  <si>
    <t>C45-min-1</t>
  </si>
  <si>
    <t>C45-min-2</t>
  </si>
  <si>
    <t>C60-min-1</t>
  </si>
  <si>
    <t>C60-min-2</t>
  </si>
  <si>
    <t>0.00±0.00</t>
  </si>
  <si>
    <t>0.91±0.02</t>
  </si>
  <si>
    <t>0.90±0.00</t>
  </si>
  <si>
    <t>0.88±0.04</t>
  </si>
  <si>
    <t>0.80±0.10</t>
  </si>
  <si>
    <t>0.85±0.01</t>
  </si>
  <si>
    <t>0.86±0.03</t>
  </si>
  <si>
    <t>CG-0</t>
  </si>
  <si>
    <t>CG-15</t>
  </si>
  <si>
    <t>CG-30</t>
  </si>
  <si>
    <t>CG-45</t>
  </si>
  <si>
    <t>CG-60</t>
  </si>
  <si>
    <t>pH</t>
    <phoneticPr fontId="1" type="noConversion"/>
  </si>
  <si>
    <t>TTA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</si>
</sst>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Times New Roma"/>
    </font>
    <font>
      <sz val="11"/>
      <color theme="1"/>
      <name val="Times New Roma"/>
      <family val="1"/>
    </font>
    <font>
      <vertAlign val="superscript"/>
      <sz val="11"/>
      <color theme="1"/>
      <name val="等线"/>
      <family val="3"/>
      <charset val="134"/>
      <scheme val="minor"/>
    </font>
    <font>
      <sz val="9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0" fillId="0" borderId="1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7" xfId="0" applyNumberFormat="1" applyFill="1" applyBorder="1">
      <alignment vertical="center"/>
    </xf>
    <xf numFmtId="49" fontId="0" fillId="0" borderId="8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7" fillId="2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>
      <alignment vertical="center"/>
    </xf>
    <xf numFmtId="49" fontId="0" fillId="0" borderId="3" xfId="0" applyNumberFormat="1" applyBorder="1">
      <alignment vertical="center"/>
    </xf>
    <xf numFmtId="49" fontId="7" fillId="2" borderId="2" xfId="0" applyNumberFormat="1" applyFont="1" applyFill="1" applyBorder="1" applyAlignment="1">
      <alignment horizontal="left" vertical="top" wrapText="1"/>
    </xf>
    <xf numFmtId="49" fontId="0" fillId="0" borderId="2" xfId="0" applyNumberFormat="1" applyBorder="1">
      <alignment vertical="center"/>
    </xf>
    <xf numFmtId="49" fontId="0" fillId="0" borderId="4" xfId="0" applyNumberFormat="1" applyBorder="1">
      <alignment vertical="center"/>
    </xf>
  </cellXfs>
  <cellStyles count="3">
    <cellStyle name="常规" xfId="0" builtinId="0"/>
    <cellStyle name="常规 2" xfId="1" xr:uid="{00000000-0005-0000-0000-000002000000}"/>
    <cellStyle name="常规 3" xfId="2" xr:uid="{00000000-0005-0000-0000-000003000000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1074420</xdr:colOff>
          <xdr:row>4</xdr:row>
          <xdr:rowOff>45720</xdr:rowOff>
        </xdr:from>
        <xdr:to>
          <xdr:col>16</xdr:col>
          <xdr:colOff>388620</xdr:colOff>
          <xdr:row>8</xdr:row>
          <xdr:rowOff>22860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7620</xdr:rowOff>
        </xdr:from>
        <xdr:to>
          <xdr:col>1</xdr:col>
          <xdr:colOff>304800</xdr:colOff>
          <xdr:row>1</xdr:row>
          <xdr:rowOff>45720</xdr:rowOff>
        </xdr:to>
        <xdr:sp macro="" textlink="">
          <xdr:nvSpPr>
            <xdr:cNvPr id="18434" name="transposition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</xdr:rowOff>
        </xdr:from>
        <xdr:to>
          <xdr:col>1</xdr:col>
          <xdr:colOff>274320</xdr:colOff>
          <xdr:row>0</xdr:row>
          <xdr:rowOff>297180</xdr:rowOff>
        </xdr:to>
        <xdr:sp macro="" textlink="">
          <xdr:nvSpPr>
            <xdr:cNvPr id="14338" name="Transpos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487680</xdr:colOff>
          <xdr:row>1</xdr:row>
          <xdr:rowOff>22860</xdr:rowOff>
        </xdr:from>
        <xdr:to>
          <xdr:col>13</xdr:col>
          <xdr:colOff>563880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2</xdr:row>
          <xdr:rowOff>0</xdr:rowOff>
        </xdr:from>
        <xdr:to>
          <xdr:col>13</xdr:col>
          <xdr:colOff>548640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99060</xdr:rowOff>
        </xdr:from>
        <xdr:to>
          <xdr:col>1</xdr:col>
          <xdr:colOff>205740</xdr:colOff>
          <xdr:row>15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5" workbookViewId="0">
      <selection activeCell="P16" sqref="P16"/>
    </sheetView>
  </sheetViews>
  <sheetFormatPr defaultRowHeight="13.8"/>
  <cols>
    <col min="1" max="16384" width="8.88671875" style="1"/>
  </cols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D1:Y98"/>
  <sheetViews>
    <sheetView topLeftCell="G13" zoomScale="85" zoomScaleNormal="85" workbookViewId="0">
      <selection activeCell="G2" sqref="G2:G21"/>
    </sheetView>
  </sheetViews>
  <sheetFormatPr defaultRowHeight="13.8"/>
  <cols>
    <col min="1" max="14" width="8.88671875" style="4"/>
    <col min="15" max="15" width="11.88671875" style="4" customWidth="1"/>
    <col min="16" max="16" width="29.109375" style="4" customWidth="1"/>
    <col min="17" max="16384" width="8.88671875" style="4"/>
  </cols>
  <sheetData>
    <row r="1" spans="4:25" ht="14.4" thickBot="1">
      <c r="H1" s="9"/>
      <c r="I1" s="10"/>
      <c r="J1" s="11"/>
    </row>
    <row r="2" spans="4:25">
      <c r="G2" s="13"/>
      <c r="H2" s="15" t="s">
        <v>86</v>
      </c>
      <c r="I2" s="16">
        <v>0.91045146335028027</v>
      </c>
      <c r="J2" s="17">
        <v>0.91045146335028027</v>
      </c>
    </row>
    <row r="3" spans="4:25">
      <c r="G3" s="12"/>
      <c r="H3" s="15" t="s">
        <v>87</v>
      </c>
      <c r="I3" s="16">
        <v>0.93052627962345125</v>
      </c>
      <c r="J3" s="17">
        <v>0.93052627962345125</v>
      </c>
    </row>
    <row r="4" spans="4:25">
      <c r="G4" s="12"/>
      <c r="H4" s="15" t="s">
        <v>88</v>
      </c>
      <c r="I4" s="16">
        <v>0.89218102323492965</v>
      </c>
      <c r="J4" s="17">
        <v>0.89218102323492965</v>
      </c>
    </row>
    <row r="5" spans="4:25">
      <c r="G5" s="12"/>
      <c r="H5" s="15" t="s">
        <v>89</v>
      </c>
      <c r="I5" s="16">
        <v>0.89086577563498304</v>
      </c>
      <c r="J5" s="17">
        <v>0.89086577563498304</v>
      </c>
    </row>
    <row r="6" spans="4:25">
      <c r="D6" s="3"/>
      <c r="E6" s="3"/>
      <c r="F6" s="3"/>
      <c r="G6" s="12"/>
      <c r="H6" s="15" t="s">
        <v>90</v>
      </c>
      <c r="I6" s="16">
        <v>0.89987266680291012</v>
      </c>
      <c r="J6" s="17">
        <v>0.89987266680291012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4:25">
      <c r="D7" s="3"/>
      <c r="E7" s="3"/>
      <c r="F7" s="3"/>
      <c r="G7" s="12"/>
      <c r="H7" s="15" t="s">
        <v>91</v>
      </c>
      <c r="I7" s="16">
        <v>0.89717052377349849</v>
      </c>
      <c r="J7" s="17">
        <v>0.89717052377349849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4:25">
      <c r="D8" s="3"/>
      <c r="E8" s="3"/>
      <c r="F8" s="3"/>
      <c r="G8" s="12"/>
      <c r="H8" s="15" t="s">
        <v>92</v>
      </c>
      <c r="I8" s="16">
        <v>0.87043689553020664</v>
      </c>
      <c r="J8" s="17">
        <v>0.87043689553020664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4:25">
      <c r="D9" s="3"/>
      <c r="E9" s="3"/>
      <c r="F9" s="3"/>
      <c r="G9" s="12"/>
      <c r="H9" s="15" t="s">
        <v>93</v>
      </c>
      <c r="I9" s="16">
        <v>0.91551045919164875</v>
      </c>
      <c r="J9" s="17">
        <v>0.91551045919164875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4:25">
      <c r="D10" s="3"/>
      <c r="E10" s="3"/>
      <c r="F10" s="3"/>
      <c r="G10" s="12"/>
      <c r="H10" s="15" t="s">
        <v>94</v>
      </c>
      <c r="I10" s="16">
        <v>0.84444870514327652</v>
      </c>
      <c r="J10" s="17">
        <v>0.84444870514327652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4:25">
      <c r="D11" s="3"/>
      <c r="E11" s="3"/>
      <c r="F11" s="3"/>
      <c r="G11" s="12"/>
      <c r="H11" s="15" t="s">
        <v>95</v>
      </c>
      <c r="I11" s="16">
        <v>0.87060506918221814</v>
      </c>
      <c r="J11" s="17">
        <v>0.87060506918221814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4:25">
      <c r="D12" s="3"/>
      <c r="E12" s="3"/>
      <c r="F12" s="3"/>
      <c r="G12" s="12"/>
      <c r="H12" s="15" t="s">
        <v>96</v>
      </c>
      <c r="I12" s="16">
        <v>0.85520950560892051</v>
      </c>
      <c r="J12" s="17">
        <v>0.85520950560892051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4:25">
      <c r="D13" s="3"/>
      <c r="E13" s="3"/>
      <c r="F13" s="3"/>
      <c r="G13" s="12"/>
      <c r="H13" s="15" t="s">
        <v>97</v>
      </c>
      <c r="I13" s="16">
        <v>0.68862341046243858</v>
      </c>
      <c r="J13" s="17">
        <v>0.68862341046243858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4:25">
      <c r="D14" s="3"/>
      <c r="E14" s="3"/>
      <c r="F14" s="3"/>
      <c r="G14" s="12"/>
      <c r="H14" s="15" t="s">
        <v>98</v>
      </c>
      <c r="I14" s="16">
        <v>0.84678140754313069</v>
      </c>
      <c r="J14" s="17">
        <v>0.84678140754313069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4:25">
      <c r="D15" s="3"/>
      <c r="E15" s="3"/>
      <c r="F15" s="3"/>
      <c r="G15" s="12"/>
      <c r="H15" s="15" t="s">
        <v>99</v>
      </c>
      <c r="I15" s="16">
        <v>0.85820486566785137</v>
      </c>
      <c r="J15" s="17">
        <v>0.85820486566785137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4:25">
      <c r="D16" s="3"/>
      <c r="E16" s="3"/>
      <c r="F16" s="3"/>
      <c r="G16" s="12"/>
      <c r="H16" s="15" t="s">
        <v>100</v>
      </c>
      <c r="I16" s="16">
        <v>0.85504780449392681</v>
      </c>
      <c r="J16" s="17">
        <v>0.85504780449392681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4:25">
      <c r="D17" s="3"/>
      <c r="E17" s="3"/>
      <c r="F17" s="3"/>
      <c r="G17" s="12"/>
      <c r="H17" s="15" t="s">
        <v>101</v>
      </c>
      <c r="I17" s="16">
        <v>0.83756586143793543</v>
      </c>
      <c r="J17" s="17">
        <v>0.83756586143793543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4:25">
      <c r="D18" s="3"/>
      <c r="E18" s="3"/>
      <c r="F18" s="3"/>
      <c r="G18" s="12"/>
      <c r="H18" s="15" t="s">
        <v>102</v>
      </c>
      <c r="I18" s="16">
        <v>0.88931961863803721</v>
      </c>
      <c r="J18" s="17">
        <v>0.88931961863803721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4:25">
      <c r="D19" s="3"/>
      <c r="E19" s="3"/>
      <c r="F19" s="3"/>
      <c r="G19" s="12"/>
      <c r="H19" s="15" t="s">
        <v>103</v>
      </c>
      <c r="I19" s="16">
        <v>0.85470174419372469</v>
      </c>
      <c r="J19" s="17">
        <v>0.85470174419372469</v>
      </c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4:25">
      <c r="D20" s="3"/>
      <c r="E20" s="3"/>
      <c r="F20" s="3"/>
      <c r="G20" s="12"/>
      <c r="H20" s="15" t="s">
        <v>104</v>
      </c>
      <c r="I20" s="16">
        <v>0.83291730220588722</v>
      </c>
      <c r="J20" s="17">
        <v>0.83291730220588722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4:25" ht="14.4" thickBot="1">
      <c r="D21" s="3"/>
      <c r="E21" s="3"/>
      <c r="F21" s="3"/>
      <c r="G21" s="14"/>
      <c r="H21" s="18" t="s">
        <v>105</v>
      </c>
      <c r="I21" s="19">
        <v>0.86711231542186107</v>
      </c>
      <c r="J21" s="20">
        <v>0.86711231542186107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4: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4: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4: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4: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4: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4: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4: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4: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4: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4:25"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4:25"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4:25"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4:25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4:25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4:25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4:25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4:25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4:25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4:25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4:25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4:25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4:25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4:25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4:25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4:25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4:25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4:25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4:25"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4:25"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4:25"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4:25"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4:25"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4:25"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4:25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4:25"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4:25"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4:25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4:25"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4:25"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4:25"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4:25"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4:25"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4:25"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4:25"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4:25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4:25"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4:25"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4:25"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4:25"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4:25"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4:25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4:25"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4:25"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4:25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4:25"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4:25"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4:25"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4:25"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4:25"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4:25"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4:25"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4:25"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4:25"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4:25"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4:25"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4:25"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4:25"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4:25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4:25"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4:25"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4:25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4:25" ht="16.2" customHeight="1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4:25" ht="16.2" customHeight="1"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4:25" ht="16.2" customHeight="1"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4:25" ht="16.2" customHeight="1"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4:25" ht="16.2" customHeight="1"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4:25" ht="16.2" customHeight="1"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15</xdr:col>
                <xdr:colOff>1074420</xdr:colOff>
                <xdr:row>4</xdr:row>
                <xdr:rowOff>45720</xdr:rowOff>
              </from>
              <to>
                <xdr:col>16</xdr:col>
                <xdr:colOff>388620</xdr:colOff>
                <xdr:row>8</xdr:row>
                <xdr:rowOff>22860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G12"/>
  <sheetViews>
    <sheetView workbookViewId="0">
      <selection activeCell="G7" sqref="G7"/>
    </sheetView>
  </sheetViews>
  <sheetFormatPr defaultRowHeight="13.8"/>
  <cols>
    <col min="1" max="1" width="8.88671875" style="3"/>
    <col min="2" max="9" width="5.6640625" bestFit="1" customWidth="1"/>
    <col min="10" max="10" width="6.6640625" bestFit="1" customWidth="1"/>
    <col min="11" max="14" width="5.6640625" bestFit="1" customWidth="1"/>
    <col min="15" max="15" width="8.6640625" bestFit="1" customWidth="1"/>
    <col min="16" max="17" width="5.6640625" bestFit="1" customWidth="1"/>
  </cols>
  <sheetData>
    <row r="2" spans="1:7" s="3" customFormat="1">
      <c r="B2" s="7" t="s">
        <v>118</v>
      </c>
      <c r="C2" s="7" t="s">
        <v>0</v>
      </c>
      <c r="D2" s="8" t="s">
        <v>119</v>
      </c>
      <c r="E2" s="8" t="s">
        <v>0</v>
      </c>
      <c r="F2" s="8"/>
      <c r="G2" s="8"/>
    </row>
    <row r="3" spans="1:7">
      <c r="A3" s="7">
        <v>0</v>
      </c>
      <c r="B3" s="6">
        <v>5.74</v>
      </c>
      <c r="C3" s="6">
        <v>0.06</v>
      </c>
      <c r="D3" s="6">
        <v>2.5</v>
      </c>
      <c r="E3" s="6">
        <v>0.1</v>
      </c>
      <c r="G3" s="6"/>
    </row>
    <row r="4" spans="1:7">
      <c r="A4" s="7">
        <v>15</v>
      </c>
      <c r="B4" s="6">
        <v>5.61</v>
      </c>
      <c r="C4" s="6">
        <v>0.01</v>
      </c>
      <c r="D4" s="6">
        <v>2.68</v>
      </c>
      <c r="E4" s="6">
        <v>0.09</v>
      </c>
      <c r="G4" s="6"/>
    </row>
    <row r="5" spans="1:7">
      <c r="A5" s="7">
        <v>30</v>
      </c>
      <c r="B5" s="6">
        <v>5.52</v>
      </c>
      <c r="C5" s="6">
        <v>0.02</v>
      </c>
      <c r="D5" s="6">
        <v>2.78</v>
      </c>
      <c r="E5" s="6">
        <v>0.06</v>
      </c>
      <c r="G5" s="6"/>
    </row>
    <row r="6" spans="1:7">
      <c r="A6" s="7">
        <v>45</v>
      </c>
      <c r="B6" s="6">
        <v>5.44</v>
      </c>
      <c r="C6" s="6">
        <v>0.03</v>
      </c>
      <c r="D6" s="6">
        <v>2.8</v>
      </c>
      <c r="E6" s="6">
        <v>0.09</v>
      </c>
      <c r="G6" s="6"/>
    </row>
    <row r="7" spans="1:7">
      <c r="A7" s="7">
        <v>60</v>
      </c>
      <c r="B7" s="6">
        <v>5.4</v>
      </c>
      <c r="C7" s="6">
        <v>0.02</v>
      </c>
      <c r="D7" s="6">
        <v>3.04</v>
      </c>
      <c r="E7" s="6">
        <v>0.15</v>
      </c>
      <c r="G7" s="6"/>
    </row>
    <row r="8" spans="1:7" ht="11.4" customHeight="1">
      <c r="A8" s="7" t="s">
        <v>113</v>
      </c>
      <c r="B8" s="6">
        <v>5.8</v>
      </c>
      <c r="C8" s="6">
        <v>0.08</v>
      </c>
      <c r="D8" s="6">
        <v>1.91</v>
      </c>
      <c r="E8" s="6">
        <v>0.01</v>
      </c>
      <c r="G8" s="6"/>
    </row>
    <row r="9" spans="1:7">
      <c r="A9" s="7" t="s">
        <v>114</v>
      </c>
      <c r="B9" s="6">
        <v>5.8</v>
      </c>
      <c r="C9" s="6">
        <v>0.02</v>
      </c>
      <c r="D9" s="6">
        <v>1.92</v>
      </c>
      <c r="E9" s="6">
        <v>0.01</v>
      </c>
      <c r="G9" s="6"/>
    </row>
    <row r="10" spans="1:7">
      <c r="A10" s="3" t="s">
        <v>115</v>
      </c>
      <c r="B10">
        <v>5.8</v>
      </c>
      <c r="C10">
        <v>0.02</v>
      </c>
      <c r="D10">
        <v>1.93</v>
      </c>
      <c r="E10">
        <v>0</v>
      </c>
    </row>
    <row r="11" spans="1:7">
      <c r="A11" s="3" t="s">
        <v>116</v>
      </c>
      <c r="B11">
        <v>5.78</v>
      </c>
      <c r="C11">
        <v>0.03</v>
      </c>
      <c r="D11">
        <v>1.92</v>
      </c>
      <c r="E11">
        <v>0.01</v>
      </c>
    </row>
    <row r="12" spans="1:7">
      <c r="A12" s="3" t="s">
        <v>117</v>
      </c>
      <c r="B12">
        <v>5.75</v>
      </c>
      <c r="C12">
        <v>0.03</v>
      </c>
      <c r="D12">
        <v>1.95</v>
      </c>
      <c r="E12">
        <v>0.01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transposition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7620</xdr:rowOff>
              </from>
              <to>
                <xdr:col>1</xdr:col>
                <xdr:colOff>304800</xdr:colOff>
                <xdr:row>1</xdr:row>
                <xdr:rowOff>45720</xdr:rowOff>
              </to>
            </anchor>
          </controlPr>
        </control>
      </mc:Choice>
      <mc:Fallback>
        <control shapeId="18434" r:id="rId3" name="transposi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45F5-9FEA-49D7-B978-576284506487}">
  <dimension ref="A2:U4"/>
  <sheetViews>
    <sheetView tabSelected="1" topLeftCell="I1" workbookViewId="0">
      <selection activeCell="A2" sqref="A2:U4"/>
    </sheetView>
  </sheetViews>
  <sheetFormatPr defaultRowHeight="13.8"/>
  <cols>
    <col min="1" max="1" width="8.88671875" style="3"/>
  </cols>
  <sheetData>
    <row r="2" spans="1:21" s="3" customFormat="1">
      <c r="B2" s="3">
        <v>0</v>
      </c>
      <c r="D2" s="3">
        <v>15</v>
      </c>
      <c r="F2" s="3">
        <v>30</v>
      </c>
      <c r="H2" s="3">
        <v>45</v>
      </c>
      <c r="J2" s="3">
        <v>60</v>
      </c>
      <c r="L2" s="3" t="s">
        <v>113</v>
      </c>
      <c r="N2" s="3" t="s">
        <v>114</v>
      </c>
      <c r="P2" s="3" t="s">
        <v>115</v>
      </c>
      <c r="R2" s="3" t="s">
        <v>116</v>
      </c>
      <c r="T2" s="3" t="s">
        <v>117</v>
      </c>
    </row>
    <row r="3" spans="1:21">
      <c r="A3" s="3" t="s">
        <v>118</v>
      </c>
      <c r="B3">
        <v>5.74</v>
      </c>
      <c r="C3">
        <v>0.06</v>
      </c>
      <c r="D3">
        <v>5.61</v>
      </c>
      <c r="E3">
        <v>0.01</v>
      </c>
      <c r="F3">
        <v>5.52</v>
      </c>
      <c r="G3">
        <v>0.02</v>
      </c>
      <c r="H3">
        <v>5.44</v>
      </c>
      <c r="I3">
        <v>0.03</v>
      </c>
      <c r="J3">
        <v>5.4</v>
      </c>
      <c r="K3">
        <v>0.02</v>
      </c>
      <c r="L3">
        <v>5.8</v>
      </c>
      <c r="M3">
        <v>0.08</v>
      </c>
      <c r="N3">
        <v>5.8</v>
      </c>
      <c r="O3">
        <v>0.02</v>
      </c>
      <c r="P3">
        <v>5.8</v>
      </c>
      <c r="Q3">
        <v>0.02</v>
      </c>
      <c r="R3">
        <v>5.78</v>
      </c>
      <c r="S3">
        <v>0.03</v>
      </c>
      <c r="T3">
        <v>5.75</v>
      </c>
      <c r="U3">
        <v>0.03</v>
      </c>
    </row>
    <row r="4" spans="1:21">
      <c r="A4" s="3" t="s">
        <v>119</v>
      </c>
      <c r="B4">
        <v>2.5</v>
      </c>
      <c r="C4">
        <v>0.1</v>
      </c>
      <c r="D4">
        <v>2.68</v>
      </c>
      <c r="E4">
        <v>0.09</v>
      </c>
      <c r="F4">
        <v>2.78</v>
      </c>
      <c r="G4">
        <v>0.06</v>
      </c>
      <c r="H4">
        <v>2.8</v>
      </c>
      <c r="I4">
        <v>0.09</v>
      </c>
      <c r="J4">
        <v>3.04</v>
      </c>
      <c r="K4">
        <v>0.15</v>
      </c>
      <c r="L4">
        <v>1.91</v>
      </c>
      <c r="M4">
        <v>0.01</v>
      </c>
      <c r="N4">
        <v>1.92</v>
      </c>
      <c r="O4">
        <v>0.01</v>
      </c>
      <c r="P4">
        <v>1.93</v>
      </c>
      <c r="Q4">
        <v>0</v>
      </c>
      <c r="R4">
        <v>1.92</v>
      </c>
      <c r="S4">
        <v>0.01</v>
      </c>
      <c r="T4">
        <v>1.95</v>
      </c>
      <c r="U4">
        <v>0.01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9"/>
  <sheetViews>
    <sheetView zoomScale="85" zoomScaleNormal="85" workbookViewId="0">
      <selection activeCell="M21" sqref="M21"/>
    </sheetView>
  </sheetViews>
  <sheetFormatPr defaultRowHeight="13.8"/>
  <cols>
    <col min="1" max="1" width="8.88671875" style="3"/>
    <col min="2" max="4" width="10.33203125" bestFit="1" customWidth="1"/>
    <col min="5" max="5" width="10" bestFit="1" customWidth="1"/>
    <col min="6" max="6" width="11.109375" bestFit="1" customWidth="1"/>
    <col min="7" max="9" width="10" bestFit="1" customWidth="1"/>
  </cols>
  <sheetData>
    <row r="1" spans="1:4" ht="28.2" customHeight="1"/>
    <row r="2" spans="1:4" s="3" customFormat="1">
      <c r="B2" s="7"/>
      <c r="C2" s="7"/>
      <c r="D2" s="7"/>
    </row>
    <row r="3" spans="1:4">
      <c r="A3" s="7"/>
      <c r="B3" s="5" t="s">
        <v>106</v>
      </c>
      <c r="C3" s="5" t="s">
        <v>107</v>
      </c>
      <c r="D3" s="5" t="s">
        <v>107</v>
      </c>
    </row>
    <row r="4" spans="1:4">
      <c r="A4" s="7"/>
      <c r="B4" s="5" t="s">
        <v>106</v>
      </c>
      <c r="C4" s="5" t="s">
        <v>108</v>
      </c>
      <c r="D4" s="5" t="s">
        <v>108</v>
      </c>
    </row>
    <row r="5" spans="1:4">
      <c r="A5" s="7"/>
      <c r="B5" s="5" t="s">
        <v>106</v>
      </c>
      <c r="C5" s="5" t="s">
        <v>109</v>
      </c>
      <c r="D5" s="5" t="s">
        <v>109</v>
      </c>
    </row>
    <row r="6" spans="1:4">
      <c r="A6" s="7"/>
      <c r="B6" s="5" t="s">
        <v>106</v>
      </c>
      <c r="C6" s="5" t="s">
        <v>110</v>
      </c>
      <c r="D6" s="5" t="s">
        <v>110</v>
      </c>
    </row>
    <row r="7" spans="1:4">
      <c r="A7" s="7"/>
      <c r="B7" s="5" t="s">
        <v>106</v>
      </c>
      <c r="C7" s="5" t="s">
        <v>111</v>
      </c>
      <c r="D7" s="5" t="s">
        <v>111</v>
      </c>
    </row>
    <row r="8" spans="1:4">
      <c r="A8" s="7"/>
      <c r="B8" s="5" t="s">
        <v>106</v>
      </c>
      <c r="C8" s="5" t="s">
        <v>112</v>
      </c>
      <c r="D8" s="5" t="s">
        <v>112</v>
      </c>
    </row>
    <row r="9" spans="1:4">
      <c r="A9" s="7"/>
      <c r="B9" s="5" t="s">
        <v>106</v>
      </c>
      <c r="C9" s="5" t="s">
        <v>106</v>
      </c>
      <c r="D9" s="5" t="s">
        <v>106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ranspose">
          <controlPr defaultSize="0" print="0" autoFill="0" autoLine="0" autoPict="0" r:id="rId4">
            <anchor moveWithCells="1">
              <from>
                <xdr:col>0</xdr:col>
                <xdr:colOff>0</xdr:colOff>
                <xdr:row>0</xdr:row>
                <xdr:rowOff>30480</xdr:rowOff>
              </from>
              <to>
                <xdr:col>1</xdr:col>
                <xdr:colOff>274320</xdr:colOff>
                <xdr:row>0</xdr:row>
                <xdr:rowOff>297180</xdr:rowOff>
              </to>
            </anchor>
          </controlPr>
        </control>
      </mc:Choice>
      <mc:Fallback>
        <control shapeId="14338" r:id="rId3" name="Transpos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55"/>
  <sheetViews>
    <sheetView workbookViewId="0">
      <selection activeCell="O21" sqref="O21"/>
    </sheetView>
  </sheetViews>
  <sheetFormatPr defaultRowHeight="13.8"/>
  <cols>
    <col min="1" max="16384" width="8.88671875" style="2"/>
  </cols>
  <sheetData>
    <row r="1" spans="1:17">
      <c r="F1"/>
    </row>
    <row r="2" spans="1:17">
      <c r="F2"/>
      <c r="H2"/>
      <c r="I2" t="s">
        <v>19</v>
      </c>
      <c r="J2" t="s">
        <v>20</v>
      </c>
      <c r="K2" t="s">
        <v>20</v>
      </c>
      <c r="L2" t="s">
        <v>20</v>
      </c>
      <c r="M2" s="2" t="s">
        <v>20</v>
      </c>
      <c r="N2" s="2" t="s">
        <v>20</v>
      </c>
      <c r="O2" s="2" t="s">
        <v>20</v>
      </c>
      <c r="P2" s="2" t="s">
        <v>20</v>
      </c>
    </row>
    <row r="3" spans="1:17">
      <c r="A3" t="s">
        <v>9</v>
      </c>
      <c r="B3" s="2" t="s">
        <v>24</v>
      </c>
      <c r="C3" s="2" t="s">
        <v>28</v>
      </c>
      <c r="D3" s="2" t="s">
        <v>31</v>
      </c>
      <c r="E3" s="2" t="s">
        <v>22</v>
      </c>
      <c r="F3"/>
      <c r="H3" t="s">
        <v>9</v>
      </c>
      <c r="I3">
        <v>1.9646300000000001</v>
      </c>
      <c r="J3"/>
      <c r="K3" t="s">
        <v>22</v>
      </c>
      <c r="L3"/>
      <c r="Q3" s="2" t="str">
        <f>_xlfn.CONCAT(J3:P3)</f>
        <v>B</v>
      </c>
    </row>
    <row r="4" spans="1:17">
      <c r="A4" t="s">
        <v>10</v>
      </c>
      <c r="B4" s="2" t="s">
        <v>21</v>
      </c>
      <c r="C4" s="2" t="s">
        <v>29</v>
      </c>
      <c r="D4" s="2" t="s">
        <v>32</v>
      </c>
      <c r="E4" s="2" t="s">
        <v>30</v>
      </c>
      <c r="F4"/>
      <c r="H4" t="s">
        <v>10</v>
      </c>
      <c r="I4">
        <v>0.78280000000000005</v>
      </c>
      <c r="J4"/>
      <c r="K4"/>
      <c r="L4"/>
      <c r="N4" s="2" t="s">
        <v>26</v>
      </c>
      <c r="O4" s="2" t="s">
        <v>27</v>
      </c>
      <c r="Q4" s="2" t="str">
        <f t="shared" ref="Q4:Q12" si="0">_xlfn.CONCAT(J4:P4)</f>
        <v>EF</v>
      </c>
    </row>
    <row r="5" spans="1:17">
      <c r="A5" t="s">
        <v>11</v>
      </c>
      <c r="B5" s="2" t="s">
        <v>22</v>
      </c>
      <c r="C5" s="2" t="s">
        <v>23</v>
      </c>
      <c r="D5" s="2" t="s">
        <v>33</v>
      </c>
      <c r="E5" s="2" t="s">
        <v>35</v>
      </c>
      <c r="F5"/>
      <c r="H5" t="s">
        <v>11</v>
      </c>
      <c r="I5">
        <v>0.41687000000000002</v>
      </c>
      <c r="J5"/>
      <c r="K5"/>
      <c r="L5"/>
      <c r="O5" s="2" t="s">
        <v>27</v>
      </c>
      <c r="P5" s="2" t="s">
        <v>28</v>
      </c>
      <c r="Q5" s="2" t="str">
        <f t="shared" si="0"/>
        <v>FG</v>
      </c>
    </row>
    <row r="6" spans="1:17">
      <c r="A6" t="s">
        <v>12</v>
      </c>
      <c r="B6" s="2" t="s">
        <v>23</v>
      </c>
      <c r="C6" s="2" t="s">
        <v>22</v>
      </c>
      <c r="D6" s="2" t="s">
        <v>21</v>
      </c>
      <c r="E6" s="2" t="s">
        <v>28</v>
      </c>
      <c r="F6"/>
      <c r="H6" t="s">
        <v>12</v>
      </c>
      <c r="I6">
        <v>0.34726000000000001</v>
      </c>
      <c r="J6"/>
      <c r="K6"/>
      <c r="L6"/>
      <c r="P6" s="2" t="s">
        <v>28</v>
      </c>
      <c r="Q6" s="2" t="str">
        <f t="shared" si="0"/>
        <v>G</v>
      </c>
    </row>
    <row r="7" spans="1:17">
      <c r="A7" t="s">
        <v>13</v>
      </c>
      <c r="B7" s="2" t="s">
        <v>21</v>
      </c>
      <c r="C7" s="2" t="s">
        <v>21</v>
      </c>
      <c r="D7" s="2" t="s">
        <v>21</v>
      </c>
      <c r="E7" s="2" t="s">
        <v>28</v>
      </c>
      <c r="F7"/>
      <c r="H7" t="s">
        <v>13</v>
      </c>
      <c r="I7">
        <v>0.28772999999999999</v>
      </c>
      <c r="J7"/>
      <c r="K7"/>
      <c r="L7"/>
      <c r="P7" s="2" t="s">
        <v>28</v>
      </c>
      <c r="Q7" s="2" t="str">
        <f t="shared" si="0"/>
        <v>G</v>
      </c>
    </row>
    <row r="8" spans="1:17">
      <c r="A8" t="s">
        <v>14</v>
      </c>
      <c r="B8" s="2" t="s">
        <v>24</v>
      </c>
      <c r="C8" s="2" t="s">
        <v>28</v>
      </c>
      <c r="D8" s="2" t="s">
        <v>34</v>
      </c>
      <c r="E8" s="2" t="s">
        <v>21</v>
      </c>
      <c r="F8"/>
      <c r="H8" t="s">
        <v>14</v>
      </c>
      <c r="I8">
        <v>2.8638499999999998</v>
      </c>
      <c r="J8" t="s">
        <v>21</v>
      </c>
      <c r="K8"/>
      <c r="L8"/>
      <c r="Q8" s="2" t="str">
        <f t="shared" si="0"/>
        <v>A</v>
      </c>
    </row>
    <row r="9" spans="1:17" ht="13.8" customHeight="1">
      <c r="A9" t="s">
        <v>15</v>
      </c>
      <c r="B9" s="2" t="s">
        <v>24</v>
      </c>
      <c r="C9" s="2" t="s">
        <v>27</v>
      </c>
      <c r="D9" s="2" t="s">
        <v>25</v>
      </c>
      <c r="E9" s="2" t="s">
        <v>22</v>
      </c>
      <c r="F9"/>
      <c r="H9" t="s">
        <v>15</v>
      </c>
      <c r="I9">
        <v>1.8538699999999999</v>
      </c>
      <c r="J9"/>
      <c r="K9" t="s">
        <v>22</v>
      </c>
      <c r="L9"/>
      <c r="Q9" s="2" t="str">
        <f t="shared" si="0"/>
        <v>B</v>
      </c>
    </row>
    <row r="10" spans="1:17" ht="13.8" customHeight="1">
      <c r="A10" t="s">
        <v>16</v>
      </c>
      <c r="B10" s="2" t="s">
        <v>23</v>
      </c>
      <c r="C10" s="2" t="s">
        <v>30</v>
      </c>
      <c r="D10" s="2" t="s">
        <v>25</v>
      </c>
      <c r="E10" s="2" t="s">
        <v>24</v>
      </c>
      <c r="F10"/>
      <c r="H10" t="s">
        <v>16</v>
      </c>
      <c r="I10">
        <v>1.58565</v>
      </c>
      <c r="J10"/>
      <c r="K10" t="s">
        <v>22</v>
      </c>
      <c r="L10" t="s">
        <v>23</v>
      </c>
      <c r="Q10" s="2" t="str">
        <f t="shared" si="0"/>
        <v>BC</v>
      </c>
    </row>
    <row r="11" spans="1:17">
      <c r="A11" t="s">
        <v>17</v>
      </c>
      <c r="B11" s="2" t="s">
        <v>24</v>
      </c>
      <c r="C11" s="2" t="s">
        <v>25</v>
      </c>
      <c r="D11" s="2" t="s">
        <v>25</v>
      </c>
      <c r="E11" s="2" t="s">
        <v>34</v>
      </c>
      <c r="F11"/>
      <c r="H11" t="s">
        <v>17</v>
      </c>
      <c r="I11">
        <v>1.24916</v>
      </c>
      <c r="J11"/>
      <c r="K11"/>
      <c r="L11" t="s">
        <v>23</v>
      </c>
      <c r="M11" s="2" t="s">
        <v>25</v>
      </c>
      <c r="Q11" s="2" t="str">
        <f t="shared" si="0"/>
        <v>CD</v>
      </c>
    </row>
    <row r="12" spans="1:17">
      <c r="A12" t="s">
        <v>18</v>
      </c>
      <c r="B12" t="s">
        <v>23</v>
      </c>
      <c r="C12" t="s">
        <v>25</v>
      </c>
      <c r="D12" t="s">
        <v>25</v>
      </c>
      <c r="E12" t="s">
        <v>29</v>
      </c>
      <c r="F12"/>
      <c r="H12" t="s">
        <v>18</v>
      </c>
      <c r="I12">
        <v>1.1538600000000001</v>
      </c>
      <c r="J12"/>
      <c r="K12"/>
      <c r="L12"/>
      <c r="M12" s="2" t="s">
        <v>25</v>
      </c>
      <c r="N12" s="2" t="s">
        <v>26</v>
      </c>
      <c r="Q12" s="2" t="str">
        <f t="shared" si="0"/>
        <v>DE</v>
      </c>
    </row>
    <row r="13" spans="1:17">
      <c r="A13"/>
      <c r="B13"/>
      <c r="C13"/>
      <c r="D13"/>
      <c r="E13"/>
      <c r="F13"/>
    </row>
    <row r="14" spans="1:17">
      <c r="A14"/>
      <c r="B14"/>
      <c r="C14"/>
      <c r="D14"/>
      <c r="E14"/>
      <c r="F14"/>
    </row>
    <row r="15" spans="1:17">
      <c r="A15"/>
      <c r="B15"/>
      <c r="C15"/>
      <c r="D15"/>
      <c r="E15"/>
      <c r="F15"/>
    </row>
    <row r="16" spans="1:17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 customFormat="1"/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  <row r="38" spans="1:6">
      <c r="A38"/>
      <c r="B38"/>
      <c r="C38"/>
      <c r="D38"/>
      <c r="E38"/>
      <c r="F38"/>
    </row>
    <row r="39" spans="1:6">
      <c r="A39"/>
      <c r="B39"/>
      <c r="C39"/>
      <c r="D39"/>
      <c r="E39"/>
      <c r="F39"/>
    </row>
    <row r="40" spans="1:6">
      <c r="A40"/>
      <c r="B40"/>
      <c r="C40"/>
      <c r="D40"/>
      <c r="E40"/>
      <c r="F40"/>
    </row>
    <row r="41" spans="1:6">
      <c r="A41"/>
      <c r="B41"/>
      <c r="C41"/>
      <c r="D41"/>
      <c r="E41"/>
      <c r="F41"/>
    </row>
    <row r="42" spans="1:6">
      <c r="A42"/>
      <c r="B42"/>
      <c r="C42"/>
      <c r="D42"/>
      <c r="E42"/>
      <c r="F42"/>
    </row>
    <row r="43" spans="1:6">
      <c r="A43"/>
      <c r="B43"/>
      <c r="C43"/>
      <c r="D43"/>
      <c r="E43"/>
      <c r="F43"/>
    </row>
    <row r="44" spans="1:6">
      <c r="A44"/>
      <c r="B44"/>
      <c r="C44"/>
      <c r="D44"/>
      <c r="E44"/>
      <c r="F44"/>
    </row>
    <row r="45" spans="1:6">
      <c r="A45"/>
      <c r="B45"/>
      <c r="C45"/>
      <c r="D45"/>
      <c r="E45"/>
      <c r="F45"/>
    </row>
    <row r="46" spans="1:6">
      <c r="A46"/>
      <c r="B46"/>
      <c r="C46"/>
      <c r="D46"/>
      <c r="E46"/>
      <c r="F46"/>
    </row>
    <row r="47" spans="1:6">
      <c r="A47"/>
      <c r="B47"/>
      <c r="C47"/>
      <c r="D47"/>
      <c r="E47"/>
      <c r="F47"/>
    </row>
    <row r="48" spans="1:6">
      <c r="A48"/>
      <c r="B48"/>
      <c r="C48"/>
      <c r="D48"/>
      <c r="E48"/>
      <c r="F48"/>
    </row>
    <row r="49" spans="1:6">
      <c r="A49"/>
      <c r="B49"/>
      <c r="C49"/>
      <c r="D49"/>
      <c r="E49"/>
      <c r="F49"/>
    </row>
    <row r="50" spans="1:6">
      <c r="A50"/>
      <c r="B50"/>
      <c r="C50"/>
      <c r="D50"/>
      <c r="E50"/>
      <c r="F50"/>
    </row>
    <row r="51" spans="1:6">
      <c r="A51"/>
      <c r="B51"/>
      <c r="C51"/>
      <c r="D51"/>
      <c r="E51"/>
      <c r="F51"/>
    </row>
    <row r="52" spans="1:6">
      <c r="A52"/>
      <c r="B52"/>
      <c r="C52"/>
      <c r="D52"/>
      <c r="E52"/>
      <c r="F52"/>
    </row>
    <row r="53" spans="1:6">
      <c r="A53"/>
      <c r="B53"/>
      <c r="C53"/>
      <c r="D53"/>
      <c r="E53"/>
      <c r="F53"/>
    </row>
    <row r="54" spans="1:6">
      <c r="A54"/>
      <c r="B54"/>
      <c r="C54"/>
      <c r="D54"/>
      <c r="E54"/>
      <c r="F54"/>
    </row>
    <row r="55" spans="1:6">
      <c r="A55"/>
      <c r="B55"/>
      <c r="C55"/>
      <c r="D55"/>
      <c r="E55"/>
      <c r="F55"/>
    </row>
  </sheetData>
  <sortState xmlns:xlrd2="http://schemas.microsoft.com/office/spreadsheetml/2017/richdata2" ref="H3:P12">
    <sortCondition ref="H2:H12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ANOVA_marker_copy">
          <controlPr defaultSize="0" autoLine="0" r:id="rId4">
            <anchor moveWithCells="1">
              <from>
                <xdr:col>12</xdr:col>
                <xdr:colOff>495300</xdr:colOff>
                <xdr:row>2</xdr:row>
                <xdr:rowOff>0</xdr:rowOff>
              </from>
              <to>
                <xdr:col>13</xdr:col>
                <xdr:colOff>548640</xdr:colOff>
                <xdr:row>3</xdr:row>
                <xdr:rowOff>152400</xdr:rowOff>
              </to>
            </anchor>
          </controlPr>
        </control>
      </mc:Choice>
      <mc:Fallback>
        <control shapeId="10253" r:id="rId3" name="ANOVA_marker_copy"/>
      </mc:Fallback>
    </mc:AlternateContent>
    <mc:AlternateContent xmlns:mc="http://schemas.openxmlformats.org/markup-compatibility/2006">
      <mc:Choice Requires="x14">
        <control shapeId="10252" r:id="rId5" name="ANOVA_marker_clear">
          <controlPr defaultSize="0" autoLine="0" r:id="rId6">
            <anchor moveWithCells="1">
              <from>
                <xdr:col>12</xdr:col>
                <xdr:colOff>487680</xdr:colOff>
                <xdr:row>1</xdr:row>
                <xdr:rowOff>22860</xdr:rowOff>
              </from>
              <to>
                <xdr:col>13</xdr:col>
                <xdr:colOff>563880</xdr:colOff>
                <xdr:row>2</xdr:row>
                <xdr:rowOff>129540</xdr:rowOff>
              </to>
            </anchor>
          </controlPr>
        </control>
      </mc:Choice>
      <mc:Fallback>
        <control shapeId="10252" r:id="rId5" name="ANOVA_marker_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E95"/>
  <sheetViews>
    <sheetView topLeftCell="A19" zoomScale="85" zoomScaleNormal="85" workbookViewId="0">
      <selection activeCell="A31" sqref="A31:E41"/>
    </sheetView>
  </sheetViews>
  <sheetFormatPr defaultRowHeight="13.8"/>
  <cols>
    <col min="1" max="1" width="8.88671875" style="3"/>
    <col min="2" max="2" width="15.6640625" customWidth="1"/>
  </cols>
  <sheetData>
    <row r="1" spans="1:13">
      <c r="B1" s="7" t="s">
        <v>5</v>
      </c>
      <c r="C1" s="8" t="s">
        <v>0</v>
      </c>
      <c r="D1" s="8" t="s">
        <v>6</v>
      </c>
      <c r="E1" s="8" t="s">
        <v>0</v>
      </c>
      <c r="F1" s="8" t="s">
        <v>7</v>
      </c>
      <c r="G1" s="8" t="s">
        <v>0</v>
      </c>
      <c r="H1" s="8" t="s">
        <v>8</v>
      </c>
      <c r="I1" s="8" t="s">
        <v>0</v>
      </c>
    </row>
    <row r="2" spans="1:13">
      <c r="A2" s="7" t="s">
        <v>9</v>
      </c>
      <c r="B2" s="6">
        <v>28.01</v>
      </c>
      <c r="C2" s="6">
        <v>0.68</v>
      </c>
      <c r="D2" s="6">
        <v>24.03</v>
      </c>
      <c r="E2" s="6">
        <v>2.58</v>
      </c>
      <c r="F2" s="6">
        <v>5.35</v>
      </c>
      <c r="G2" s="6">
        <v>0.03</v>
      </c>
      <c r="H2" s="6">
        <v>1.96</v>
      </c>
      <c r="I2" s="6">
        <v>0.16</v>
      </c>
      <c r="J2" s="2" t="s">
        <v>24</v>
      </c>
      <c r="K2" s="2" t="s">
        <v>28</v>
      </c>
      <c r="L2" s="2" t="s">
        <v>31</v>
      </c>
      <c r="M2" s="2" t="s">
        <v>22</v>
      </c>
    </row>
    <row r="3" spans="1:13">
      <c r="A3" s="8" t="s">
        <v>10</v>
      </c>
      <c r="B3" s="6">
        <v>56.43</v>
      </c>
      <c r="C3" s="6">
        <v>4.88</v>
      </c>
      <c r="D3" s="6">
        <v>50.64</v>
      </c>
      <c r="E3" s="6">
        <v>1.48</v>
      </c>
      <c r="F3" s="6">
        <v>6.1</v>
      </c>
      <c r="G3" s="6">
        <v>0.33</v>
      </c>
      <c r="H3" s="6">
        <v>0.78</v>
      </c>
      <c r="I3" s="6">
        <v>0.04</v>
      </c>
      <c r="J3" s="2" t="s">
        <v>21</v>
      </c>
      <c r="K3" s="2" t="s">
        <v>29</v>
      </c>
      <c r="L3" s="2" t="s">
        <v>32</v>
      </c>
      <c r="M3" s="2" t="s">
        <v>30</v>
      </c>
    </row>
    <row r="4" spans="1:13">
      <c r="A4" s="8" t="s">
        <v>11</v>
      </c>
      <c r="B4" s="6">
        <v>39.11</v>
      </c>
      <c r="C4" s="6">
        <v>8.3699999999999992</v>
      </c>
      <c r="D4" s="6">
        <v>76.28</v>
      </c>
      <c r="E4" s="6">
        <v>3.63</v>
      </c>
      <c r="F4" s="6">
        <v>6.52</v>
      </c>
      <c r="G4" s="6">
        <v>0.88</v>
      </c>
      <c r="H4" s="6">
        <v>0.42</v>
      </c>
      <c r="I4" s="6">
        <v>0.02</v>
      </c>
      <c r="J4" s="2" t="s">
        <v>22</v>
      </c>
      <c r="K4" s="2" t="s">
        <v>23</v>
      </c>
      <c r="L4" s="2" t="s">
        <v>33</v>
      </c>
      <c r="M4" s="2" t="s">
        <v>35</v>
      </c>
    </row>
    <row r="5" spans="1:13">
      <c r="A5" s="8" t="s">
        <v>12</v>
      </c>
      <c r="B5" s="6">
        <v>23.98</v>
      </c>
      <c r="C5" s="6">
        <v>0.98</v>
      </c>
      <c r="D5" s="6">
        <v>101.81</v>
      </c>
      <c r="E5" s="6">
        <v>7.14</v>
      </c>
      <c r="F5" s="6">
        <v>7.23</v>
      </c>
      <c r="G5" s="6">
        <v>0.59</v>
      </c>
      <c r="H5" s="6">
        <v>0.35</v>
      </c>
      <c r="I5" s="6">
        <v>0.01</v>
      </c>
      <c r="J5" s="2" t="s">
        <v>23</v>
      </c>
      <c r="K5" s="2" t="s">
        <v>22</v>
      </c>
      <c r="L5" s="2" t="s">
        <v>21</v>
      </c>
      <c r="M5" s="2" t="s">
        <v>28</v>
      </c>
    </row>
    <row r="6" spans="1:13">
      <c r="A6" s="8" t="s">
        <v>13</v>
      </c>
      <c r="B6" s="6">
        <v>58.52</v>
      </c>
      <c r="C6" s="6">
        <v>1.4</v>
      </c>
      <c r="D6" s="6">
        <v>121.6</v>
      </c>
      <c r="E6" s="6">
        <v>1.45</v>
      </c>
      <c r="F6" s="6">
        <v>7.51</v>
      </c>
      <c r="G6" s="6">
        <v>0.37</v>
      </c>
      <c r="H6" s="6">
        <v>0.28999999999999998</v>
      </c>
      <c r="I6" s="6">
        <v>0.01</v>
      </c>
      <c r="J6" s="2" t="s">
        <v>21</v>
      </c>
      <c r="K6" s="2" t="s">
        <v>21</v>
      </c>
      <c r="L6" s="2" t="s">
        <v>21</v>
      </c>
      <c r="M6" s="2" t="s">
        <v>28</v>
      </c>
    </row>
    <row r="7" spans="1:13">
      <c r="A7" s="8" t="s">
        <v>14</v>
      </c>
      <c r="B7" s="6">
        <v>30.01</v>
      </c>
      <c r="C7" s="6">
        <v>0.13</v>
      </c>
      <c r="D7" s="6">
        <v>23.4</v>
      </c>
      <c r="E7" s="6">
        <v>2.41</v>
      </c>
      <c r="F7" s="6">
        <v>4.79</v>
      </c>
      <c r="G7" s="6">
        <v>0.25</v>
      </c>
      <c r="H7" s="6">
        <v>2.86</v>
      </c>
      <c r="I7" s="6">
        <v>0.25</v>
      </c>
      <c r="J7" s="2" t="s">
        <v>24</v>
      </c>
      <c r="K7" s="2" t="s">
        <v>28</v>
      </c>
      <c r="L7" s="2" t="s">
        <v>34</v>
      </c>
      <c r="M7" s="2" t="s">
        <v>21</v>
      </c>
    </row>
    <row r="8" spans="1:13">
      <c r="A8" s="8" t="s">
        <v>15</v>
      </c>
      <c r="B8" s="6">
        <v>30.04</v>
      </c>
      <c r="C8" s="6">
        <v>0.28000000000000003</v>
      </c>
      <c r="D8" s="6">
        <v>37.46</v>
      </c>
      <c r="E8" s="6">
        <v>3.17</v>
      </c>
      <c r="F8" s="6">
        <v>4.3600000000000003</v>
      </c>
      <c r="G8" s="6">
        <v>0.16</v>
      </c>
      <c r="H8" s="6">
        <v>1.85</v>
      </c>
      <c r="I8" s="6">
        <v>0.13</v>
      </c>
      <c r="J8" s="2" t="s">
        <v>24</v>
      </c>
      <c r="K8" s="2" t="s">
        <v>27</v>
      </c>
      <c r="L8" s="2" t="s">
        <v>25</v>
      </c>
      <c r="M8" s="2" t="s">
        <v>22</v>
      </c>
    </row>
    <row r="9" spans="1:13">
      <c r="A9" s="8" t="s">
        <v>16</v>
      </c>
      <c r="B9" s="6">
        <v>25.03</v>
      </c>
      <c r="C9" s="6">
        <v>3.18</v>
      </c>
      <c r="D9" s="6">
        <v>44.84</v>
      </c>
      <c r="E9" s="6">
        <v>0.18</v>
      </c>
      <c r="F9" s="6">
        <v>4.3099999999999996</v>
      </c>
      <c r="G9" s="6">
        <v>0.03</v>
      </c>
      <c r="H9" s="6">
        <v>1.59</v>
      </c>
      <c r="I9" s="6">
        <v>0.02</v>
      </c>
      <c r="J9" s="2" t="s">
        <v>23</v>
      </c>
      <c r="K9" s="2" t="s">
        <v>30</v>
      </c>
      <c r="L9" s="2" t="s">
        <v>25</v>
      </c>
      <c r="M9" s="2" t="s">
        <v>24</v>
      </c>
    </row>
    <row r="10" spans="1:13">
      <c r="A10" s="8" t="s">
        <v>17</v>
      </c>
      <c r="B10" s="6">
        <v>32.36</v>
      </c>
      <c r="C10" s="6">
        <v>1.93</v>
      </c>
      <c r="D10" s="6">
        <v>58.71</v>
      </c>
      <c r="E10" s="6">
        <v>1.06</v>
      </c>
      <c r="F10" s="6">
        <v>4.16</v>
      </c>
      <c r="G10" s="6">
        <v>0.04</v>
      </c>
      <c r="H10" s="6">
        <v>1.25</v>
      </c>
      <c r="I10" s="6">
        <v>0.01</v>
      </c>
      <c r="J10" s="2" t="s">
        <v>24</v>
      </c>
      <c r="K10" s="2" t="s">
        <v>25</v>
      </c>
      <c r="L10" s="2" t="s">
        <v>25</v>
      </c>
      <c r="M10" s="2" t="s">
        <v>34</v>
      </c>
    </row>
    <row r="11" spans="1:13">
      <c r="A11" s="8" t="s">
        <v>18</v>
      </c>
      <c r="B11" s="6">
        <v>25.02</v>
      </c>
      <c r="C11" s="6">
        <v>1.2</v>
      </c>
      <c r="D11" s="6">
        <v>62.48</v>
      </c>
      <c r="E11" s="6">
        <v>2.2999999999999998</v>
      </c>
      <c r="F11" s="6">
        <v>4.26</v>
      </c>
      <c r="G11" s="6">
        <v>0.02</v>
      </c>
      <c r="H11" s="6">
        <v>1.1499999999999999</v>
      </c>
      <c r="I11" s="6">
        <v>0.05</v>
      </c>
      <c r="J11" t="s">
        <v>23</v>
      </c>
      <c r="K11" t="s">
        <v>25</v>
      </c>
      <c r="L11" t="s">
        <v>25</v>
      </c>
      <c r="M11" t="s">
        <v>29</v>
      </c>
    </row>
    <row r="21" spans="1:5" ht="16.2" customHeight="1"/>
    <row r="22" spans="1:5" ht="16.2" customHeight="1"/>
    <row r="23" spans="1:5" ht="16.2" customHeight="1"/>
    <row r="24" spans="1:5" ht="16.2" customHeight="1"/>
    <row r="25" spans="1:5" ht="16.2" customHeight="1"/>
    <row r="26" spans="1:5" ht="16.2" customHeight="1"/>
    <row r="27" spans="1:5" ht="16.2" customHeight="1"/>
    <row r="28" spans="1:5" ht="16.2" customHeight="1"/>
    <row r="31" spans="1:5">
      <c r="B31" t="s">
        <v>5</v>
      </c>
      <c r="C31" t="s">
        <v>6</v>
      </c>
      <c r="D31" t="s">
        <v>7</v>
      </c>
      <c r="E31" t="s">
        <v>8</v>
      </c>
    </row>
    <row r="32" spans="1:5" ht="16.2">
      <c r="A32" s="3" t="s">
        <v>9</v>
      </c>
      <c r="B32" t="s">
        <v>36</v>
      </c>
      <c r="C32" t="s">
        <v>37</v>
      </c>
      <c r="D32" t="s">
        <v>38</v>
      </c>
      <c r="E32" t="s">
        <v>39</v>
      </c>
    </row>
    <row r="33" spans="1:5" ht="16.2">
      <c r="A33" s="3" t="s">
        <v>10</v>
      </c>
      <c r="B33" t="s">
        <v>40</v>
      </c>
      <c r="C33" t="s">
        <v>41</v>
      </c>
      <c r="D33" t="s">
        <v>42</v>
      </c>
      <c r="E33" t="s">
        <v>43</v>
      </c>
    </row>
    <row r="34" spans="1:5" ht="16.2">
      <c r="A34" s="3" t="s">
        <v>11</v>
      </c>
      <c r="B34" t="s">
        <v>44</v>
      </c>
      <c r="C34" t="s">
        <v>45</v>
      </c>
      <c r="D34" t="s">
        <v>46</v>
      </c>
      <c r="E34" t="s">
        <v>47</v>
      </c>
    </row>
    <row r="35" spans="1:5" ht="16.2">
      <c r="A35" s="3" t="s">
        <v>12</v>
      </c>
      <c r="B35" t="s">
        <v>48</v>
      </c>
      <c r="C35" t="s">
        <v>49</v>
      </c>
      <c r="D35" t="s">
        <v>50</v>
      </c>
      <c r="E35" t="s">
        <v>51</v>
      </c>
    </row>
    <row r="36" spans="1:5" ht="16.2">
      <c r="A36" s="3" t="s">
        <v>13</v>
      </c>
      <c r="B36" t="s">
        <v>52</v>
      </c>
      <c r="C36" t="s">
        <v>53</v>
      </c>
      <c r="D36" t="s">
        <v>54</v>
      </c>
      <c r="E36" t="s">
        <v>55</v>
      </c>
    </row>
    <row r="37" spans="1:5" ht="16.2">
      <c r="A37" s="3" t="s">
        <v>14</v>
      </c>
      <c r="B37" t="s">
        <v>56</v>
      </c>
      <c r="C37" t="s">
        <v>57</v>
      </c>
      <c r="D37" t="s">
        <v>58</v>
      </c>
      <c r="E37" t="s">
        <v>59</v>
      </c>
    </row>
    <row r="38" spans="1:5" ht="16.2">
      <c r="A38" s="3" t="s">
        <v>15</v>
      </c>
      <c r="B38" t="s">
        <v>60</v>
      </c>
      <c r="C38" t="s">
        <v>61</v>
      </c>
      <c r="D38" t="s">
        <v>62</v>
      </c>
      <c r="E38" t="s">
        <v>63</v>
      </c>
    </row>
    <row r="39" spans="1:5" ht="16.2">
      <c r="A39" s="3" t="s">
        <v>16</v>
      </c>
      <c r="B39" t="s">
        <v>64</v>
      </c>
      <c r="C39" t="s">
        <v>65</v>
      </c>
      <c r="D39" t="s">
        <v>66</v>
      </c>
      <c r="E39" t="s">
        <v>67</v>
      </c>
    </row>
    <row r="40" spans="1:5" ht="16.2">
      <c r="A40" s="3" t="s">
        <v>17</v>
      </c>
      <c r="B40" t="s">
        <v>68</v>
      </c>
      <c r="C40" t="s">
        <v>69</v>
      </c>
      <c r="D40" t="s">
        <v>70</v>
      </c>
      <c r="E40" t="s">
        <v>71</v>
      </c>
    </row>
    <row r="41" spans="1:5" ht="16.2">
      <c r="A41" s="3" t="s">
        <v>18</v>
      </c>
      <c r="B41" t="s">
        <v>72</v>
      </c>
      <c r="C41" t="s">
        <v>73</v>
      </c>
      <c r="D41" t="s">
        <v>74</v>
      </c>
      <c r="E41" t="s">
        <v>75</v>
      </c>
    </row>
    <row r="61" spans="1:13" s="3" customFormat="1">
      <c r="B61" s="3" t="s">
        <v>5</v>
      </c>
      <c r="E61" s="3" t="s">
        <v>6</v>
      </c>
      <c r="H61" s="3" t="s">
        <v>7</v>
      </c>
      <c r="K61" s="3" t="s">
        <v>8</v>
      </c>
    </row>
    <row r="62" spans="1:13">
      <c r="A62" s="3" t="s">
        <v>9</v>
      </c>
      <c r="B62">
        <v>28.01</v>
      </c>
      <c r="C62">
        <v>0.68</v>
      </c>
      <c r="D62" t="s">
        <v>76</v>
      </c>
      <c r="E62">
        <v>24.03</v>
      </c>
      <c r="F62">
        <v>2.58</v>
      </c>
      <c r="G62" t="s">
        <v>77</v>
      </c>
      <c r="H62">
        <v>5.35</v>
      </c>
      <c r="I62">
        <v>0.03</v>
      </c>
      <c r="J62" t="s">
        <v>78</v>
      </c>
      <c r="K62">
        <v>1.96</v>
      </c>
      <c r="L62">
        <v>0.16</v>
      </c>
      <c r="M62" t="s">
        <v>3</v>
      </c>
    </row>
    <row r="63" spans="1:13">
      <c r="A63" s="3" t="s">
        <v>10</v>
      </c>
      <c r="B63">
        <v>56.43</v>
      </c>
      <c r="C63">
        <v>4.88</v>
      </c>
      <c r="D63" t="s">
        <v>1</v>
      </c>
      <c r="E63">
        <v>50.64</v>
      </c>
      <c r="F63">
        <v>1.48</v>
      </c>
      <c r="G63" t="s">
        <v>79</v>
      </c>
      <c r="H63">
        <v>6.1</v>
      </c>
      <c r="I63">
        <v>0.33</v>
      </c>
      <c r="J63" t="s">
        <v>80</v>
      </c>
      <c r="K63">
        <v>0.78</v>
      </c>
      <c r="L63">
        <v>0.04</v>
      </c>
      <c r="M63" t="s">
        <v>81</v>
      </c>
    </row>
    <row r="64" spans="1:13">
      <c r="A64" s="3" t="s">
        <v>11</v>
      </c>
      <c r="B64">
        <v>39.11</v>
      </c>
      <c r="C64">
        <v>8.3699999999999992</v>
      </c>
      <c r="D64" t="s">
        <v>3</v>
      </c>
      <c r="E64">
        <v>76.28</v>
      </c>
      <c r="F64">
        <v>3.63</v>
      </c>
      <c r="G64" t="s">
        <v>2</v>
      </c>
      <c r="H64">
        <v>6.52</v>
      </c>
      <c r="I64">
        <v>0.88</v>
      </c>
      <c r="J64" t="s">
        <v>4</v>
      </c>
      <c r="K64">
        <v>0.42</v>
      </c>
      <c r="L64">
        <v>0.02</v>
      </c>
      <c r="M64" t="s">
        <v>82</v>
      </c>
    </row>
    <row r="65" spans="1:13">
      <c r="A65" s="3" t="s">
        <v>12</v>
      </c>
      <c r="B65">
        <v>23.98</v>
      </c>
      <c r="C65">
        <v>0.98</v>
      </c>
      <c r="D65" t="s">
        <v>2</v>
      </c>
      <c r="E65">
        <v>101.81</v>
      </c>
      <c r="F65">
        <v>7.14</v>
      </c>
      <c r="G65" t="s">
        <v>3</v>
      </c>
      <c r="H65">
        <v>7.23</v>
      </c>
      <c r="I65">
        <v>0.59</v>
      </c>
      <c r="J65" t="s">
        <v>1</v>
      </c>
      <c r="K65">
        <v>0.35</v>
      </c>
      <c r="L65">
        <v>0.01</v>
      </c>
      <c r="M65" t="s">
        <v>77</v>
      </c>
    </row>
    <row r="66" spans="1:13">
      <c r="A66" s="3" t="s">
        <v>13</v>
      </c>
      <c r="B66">
        <v>58.52</v>
      </c>
      <c r="C66">
        <v>1.4</v>
      </c>
      <c r="D66" t="s">
        <v>1</v>
      </c>
      <c r="E66">
        <v>121.6</v>
      </c>
      <c r="F66">
        <v>1.45</v>
      </c>
      <c r="G66" t="s">
        <v>1</v>
      </c>
      <c r="H66">
        <v>7.51</v>
      </c>
      <c r="I66">
        <v>0.37</v>
      </c>
      <c r="J66" t="s">
        <v>1</v>
      </c>
      <c r="K66">
        <v>0.28999999999999998</v>
      </c>
      <c r="L66">
        <v>0.01</v>
      </c>
      <c r="M66" t="s">
        <v>77</v>
      </c>
    </row>
    <row r="67" spans="1:13">
      <c r="A67" s="3" t="s">
        <v>14</v>
      </c>
      <c r="B67">
        <v>30.01</v>
      </c>
      <c r="C67">
        <v>0.13</v>
      </c>
      <c r="D67" t="s">
        <v>76</v>
      </c>
      <c r="E67">
        <v>23.4</v>
      </c>
      <c r="F67">
        <v>2.41</v>
      </c>
      <c r="G67" t="s">
        <v>77</v>
      </c>
      <c r="H67">
        <v>4.79</v>
      </c>
      <c r="I67">
        <v>0.25</v>
      </c>
      <c r="J67" t="s">
        <v>83</v>
      </c>
      <c r="K67">
        <v>2.86</v>
      </c>
      <c r="L67">
        <v>0.25</v>
      </c>
      <c r="M67" t="s">
        <v>1</v>
      </c>
    </row>
    <row r="68" spans="1:13">
      <c r="A68" s="3" t="s">
        <v>15</v>
      </c>
      <c r="B68">
        <v>30.04</v>
      </c>
      <c r="C68">
        <v>0.28000000000000003</v>
      </c>
      <c r="D68" t="s">
        <v>76</v>
      </c>
      <c r="E68">
        <v>37.46</v>
      </c>
      <c r="F68">
        <v>3.17</v>
      </c>
      <c r="G68" t="s">
        <v>84</v>
      </c>
      <c r="H68">
        <v>4.3600000000000003</v>
      </c>
      <c r="I68">
        <v>0.16</v>
      </c>
      <c r="J68" t="s">
        <v>85</v>
      </c>
      <c r="K68">
        <v>1.85</v>
      </c>
      <c r="L68">
        <v>0.13</v>
      </c>
      <c r="M68" t="s">
        <v>3</v>
      </c>
    </row>
    <row r="69" spans="1:13">
      <c r="A69" s="3" t="s">
        <v>16</v>
      </c>
      <c r="B69">
        <v>25.03</v>
      </c>
      <c r="C69">
        <v>3.18</v>
      </c>
      <c r="D69" t="s">
        <v>2</v>
      </c>
      <c r="E69">
        <v>44.84</v>
      </c>
      <c r="F69">
        <v>0.18</v>
      </c>
      <c r="G69" t="s">
        <v>81</v>
      </c>
      <c r="H69">
        <v>4.3099999999999996</v>
      </c>
      <c r="I69">
        <v>0.03</v>
      </c>
      <c r="J69" t="s">
        <v>85</v>
      </c>
      <c r="K69">
        <v>1.59</v>
      </c>
      <c r="L69">
        <v>0.02</v>
      </c>
      <c r="M69" t="s">
        <v>76</v>
      </c>
    </row>
    <row r="70" spans="1:13">
      <c r="A70" s="3" t="s">
        <v>17</v>
      </c>
      <c r="B70">
        <v>32.36</v>
      </c>
      <c r="C70">
        <v>1.93</v>
      </c>
      <c r="D70" t="s">
        <v>76</v>
      </c>
      <c r="E70">
        <v>58.71</v>
      </c>
      <c r="F70">
        <v>1.06</v>
      </c>
      <c r="G70" t="s">
        <v>85</v>
      </c>
      <c r="H70">
        <v>4.16</v>
      </c>
      <c r="I70">
        <v>0.04</v>
      </c>
      <c r="J70" t="s">
        <v>85</v>
      </c>
      <c r="K70">
        <v>1.25</v>
      </c>
      <c r="L70">
        <v>0.01</v>
      </c>
      <c r="M70" t="s">
        <v>83</v>
      </c>
    </row>
    <row r="71" spans="1:13">
      <c r="A71" s="3" t="s">
        <v>18</v>
      </c>
      <c r="B71">
        <v>25.02</v>
      </c>
      <c r="C71">
        <v>1.2</v>
      </c>
      <c r="D71" t="s">
        <v>2</v>
      </c>
      <c r="E71">
        <v>62.48</v>
      </c>
      <c r="F71">
        <v>2.2999999999999998</v>
      </c>
      <c r="G71" t="s">
        <v>85</v>
      </c>
      <c r="H71">
        <v>4.26</v>
      </c>
      <c r="I71">
        <v>0.02</v>
      </c>
      <c r="J71" t="s">
        <v>85</v>
      </c>
      <c r="K71">
        <v>1.1499999999999999</v>
      </c>
      <c r="L71">
        <v>0.05</v>
      </c>
      <c r="M71" t="s">
        <v>79</v>
      </c>
    </row>
    <row r="91" spans="1:31">
      <c r="B91" t="s">
        <v>9</v>
      </c>
      <c r="E91" t="s">
        <v>10</v>
      </c>
      <c r="H91" t="s">
        <v>11</v>
      </c>
      <c r="K91" t="s">
        <v>12</v>
      </c>
      <c r="N91" t="s">
        <v>13</v>
      </c>
      <c r="Q91" t="s">
        <v>14</v>
      </c>
      <c r="T91" t="s">
        <v>15</v>
      </c>
      <c r="W91" t="s">
        <v>16</v>
      </c>
      <c r="Z91" t="s">
        <v>17</v>
      </c>
      <c r="AC91" t="s">
        <v>18</v>
      </c>
    </row>
    <row r="92" spans="1:31">
      <c r="A92" s="3" t="s">
        <v>5</v>
      </c>
      <c r="B92">
        <v>28.01</v>
      </c>
      <c r="C92">
        <v>0.68</v>
      </c>
      <c r="D92" t="s">
        <v>76</v>
      </c>
      <c r="E92">
        <v>56.43</v>
      </c>
      <c r="F92">
        <v>4.88</v>
      </c>
      <c r="G92" t="s">
        <v>1</v>
      </c>
      <c r="H92">
        <v>39.11</v>
      </c>
      <c r="I92">
        <v>8.3699999999999992</v>
      </c>
      <c r="J92" t="s">
        <v>3</v>
      </c>
      <c r="K92">
        <v>23.98</v>
      </c>
      <c r="L92">
        <v>0.98</v>
      </c>
      <c r="M92" t="s">
        <v>2</v>
      </c>
      <c r="N92">
        <v>58.52</v>
      </c>
      <c r="O92">
        <v>1.4</v>
      </c>
      <c r="P92" t="s">
        <v>1</v>
      </c>
      <c r="Q92">
        <v>30.01</v>
      </c>
      <c r="R92">
        <v>0.13</v>
      </c>
      <c r="S92" t="s">
        <v>76</v>
      </c>
      <c r="T92">
        <v>30.04</v>
      </c>
      <c r="U92">
        <v>0.28000000000000003</v>
      </c>
      <c r="V92" t="s">
        <v>76</v>
      </c>
      <c r="W92">
        <v>25.03</v>
      </c>
      <c r="X92">
        <v>3.18</v>
      </c>
      <c r="Y92" t="s">
        <v>2</v>
      </c>
      <c r="Z92">
        <v>32.36</v>
      </c>
      <c r="AA92">
        <v>1.93</v>
      </c>
      <c r="AB92" t="s">
        <v>76</v>
      </c>
      <c r="AC92">
        <v>25.02</v>
      </c>
      <c r="AD92">
        <v>1.2</v>
      </c>
      <c r="AE92" t="s">
        <v>2</v>
      </c>
    </row>
    <row r="93" spans="1:31">
      <c r="A93" s="3" t="s">
        <v>6</v>
      </c>
      <c r="B93">
        <v>24.03</v>
      </c>
      <c r="C93">
        <v>2.58</v>
      </c>
      <c r="D93" t="s">
        <v>77</v>
      </c>
      <c r="E93">
        <v>50.64</v>
      </c>
      <c r="F93">
        <v>1.48</v>
      </c>
      <c r="G93" t="s">
        <v>79</v>
      </c>
      <c r="H93">
        <v>76.28</v>
      </c>
      <c r="I93">
        <v>3.63</v>
      </c>
      <c r="J93" t="s">
        <v>2</v>
      </c>
      <c r="K93">
        <v>101.81</v>
      </c>
      <c r="L93">
        <v>7.14</v>
      </c>
      <c r="M93" t="s">
        <v>3</v>
      </c>
      <c r="N93">
        <v>121.6</v>
      </c>
      <c r="O93">
        <v>1.45</v>
      </c>
      <c r="P93" t="s">
        <v>1</v>
      </c>
      <c r="Q93">
        <v>23.4</v>
      </c>
      <c r="R93">
        <v>2.41</v>
      </c>
      <c r="S93" t="s">
        <v>77</v>
      </c>
      <c r="T93">
        <v>37.46</v>
      </c>
      <c r="U93">
        <v>3.17</v>
      </c>
      <c r="V93" t="s">
        <v>84</v>
      </c>
      <c r="W93">
        <v>44.84</v>
      </c>
      <c r="X93">
        <v>0.18</v>
      </c>
      <c r="Y93" t="s">
        <v>81</v>
      </c>
      <c r="Z93">
        <v>58.71</v>
      </c>
      <c r="AA93">
        <v>1.06</v>
      </c>
      <c r="AB93" t="s">
        <v>85</v>
      </c>
      <c r="AC93">
        <v>62.48</v>
      </c>
      <c r="AD93">
        <v>2.2999999999999998</v>
      </c>
      <c r="AE93" t="s">
        <v>85</v>
      </c>
    </row>
    <row r="94" spans="1:31">
      <c r="A94" s="3" t="s">
        <v>7</v>
      </c>
      <c r="B94">
        <v>5.35</v>
      </c>
      <c r="C94">
        <v>0.03</v>
      </c>
      <c r="D94" t="s">
        <v>78</v>
      </c>
      <c r="E94">
        <v>6.1</v>
      </c>
      <c r="F94">
        <v>0.33</v>
      </c>
      <c r="G94" t="s">
        <v>80</v>
      </c>
      <c r="H94">
        <v>6.52</v>
      </c>
      <c r="I94">
        <v>0.88</v>
      </c>
      <c r="J94" t="s">
        <v>4</v>
      </c>
      <c r="K94">
        <v>7.23</v>
      </c>
      <c r="L94">
        <v>0.59</v>
      </c>
      <c r="M94" t="s">
        <v>1</v>
      </c>
      <c r="N94">
        <v>7.51</v>
      </c>
      <c r="O94">
        <v>0.37</v>
      </c>
      <c r="P94" t="s">
        <v>1</v>
      </c>
      <c r="Q94">
        <v>4.79</v>
      </c>
      <c r="R94">
        <v>0.25</v>
      </c>
      <c r="S94" t="s">
        <v>83</v>
      </c>
      <c r="T94">
        <v>4.3600000000000003</v>
      </c>
      <c r="U94">
        <v>0.16</v>
      </c>
      <c r="V94" t="s">
        <v>85</v>
      </c>
      <c r="W94">
        <v>4.3099999999999996</v>
      </c>
      <c r="X94">
        <v>0.03</v>
      </c>
      <c r="Y94" t="s">
        <v>85</v>
      </c>
      <c r="Z94">
        <v>4.16</v>
      </c>
      <c r="AA94">
        <v>0.04</v>
      </c>
      <c r="AB94" t="s">
        <v>85</v>
      </c>
      <c r="AC94">
        <v>4.26</v>
      </c>
      <c r="AD94">
        <v>0.02</v>
      </c>
      <c r="AE94" t="s">
        <v>85</v>
      </c>
    </row>
    <row r="95" spans="1:31">
      <c r="A95" s="3" t="s">
        <v>8</v>
      </c>
      <c r="B95">
        <v>1.96</v>
      </c>
      <c r="C95">
        <v>0.16</v>
      </c>
      <c r="D95" t="s">
        <v>3</v>
      </c>
      <c r="E95">
        <v>0.78</v>
      </c>
      <c r="F95">
        <v>0.04</v>
      </c>
      <c r="G95" t="s">
        <v>81</v>
      </c>
      <c r="H95">
        <v>0.42</v>
      </c>
      <c r="I95">
        <v>0.02</v>
      </c>
      <c r="J95" t="s">
        <v>82</v>
      </c>
      <c r="K95">
        <v>0.35</v>
      </c>
      <c r="L95">
        <v>0.01</v>
      </c>
      <c r="M95" t="s">
        <v>77</v>
      </c>
      <c r="N95">
        <v>0.28999999999999998</v>
      </c>
      <c r="O95">
        <v>0.01</v>
      </c>
      <c r="P95" t="s">
        <v>77</v>
      </c>
      <c r="Q95">
        <v>2.86</v>
      </c>
      <c r="R95">
        <v>0.25</v>
      </c>
      <c r="S95" t="s">
        <v>1</v>
      </c>
      <c r="T95">
        <v>1.85</v>
      </c>
      <c r="U95">
        <v>0.13</v>
      </c>
      <c r="V95" t="s">
        <v>3</v>
      </c>
      <c r="W95">
        <v>1.59</v>
      </c>
      <c r="X95">
        <v>0.02</v>
      </c>
      <c r="Y95" t="s">
        <v>76</v>
      </c>
      <c r="Z95">
        <v>1.25</v>
      </c>
      <c r="AA95">
        <v>0.01</v>
      </c>
      <c r="AB95" t="s">
        <v>83</v>
      </c>
      <c r="AC95">
        <v>1.1499999999999999</v>
      </c>
      <c r="AD95">
        <v>0.05</v>
      </c>
      <c r="AE95" t="s">
        <v>79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1">
          <controlPr defaultSize="0" print="0" autoLine="0" r:id="rId4">
            <anchor moveWithCells="1">
              <from>
                <xdr:col>0</xdr:col>
                <xdr:colOff>0</xdr:colOff>
                <xdr:row>13</xdr:row>
                <xdr:rowOff>99060</xdr:rowOff>
              </from>
              <to>
                <xdr:col>1</xdr:col>
                <xdr:colOff>205740</xdr:colOff>
                <xdr:row>15</xdr:row>
                <xdr:rowOff>152400</xdr:rowOff>
              </to>
            </anchor>
          </controlPr>
        </control>
      </mc:Choice>
      <mc:Fallback>
        <control shapeId="12291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/>
  <dimension ref="A2"/>
  <sheetViews>
    <sheetView workbookViewId="0">
      <selection activeCell="M13" sqref="M13"/>
    </sheetView>
  </sheetViews>
  <sheetFormatPr defaultRowHeight="13.8"/>
  <cols>
    <col min="1" max="16384" width="8.88671875" style="2"/>
  </cols>
  <sheetData>
    <row r="2" ht="13.8" customHeight="1"/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DEMO</vt:lpstr>
      <vt:lpstr>数据</vt:lpstr>
      <vt:lpstr>输出结果</vt:lpstr>
      <vt:lpstr>转置后数据</vt:lpstr>
      <vt:lpstr>合并结果</vt:lpstr>
      <vt:lpstr>显著性提取</vt:lpstr>
      <vt:lpstr>显著性格式整理</vt:lpstr>
      <vt:lpstr>微生物的计算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Jiang Zhaojing</cp:lastModifiedBy>
  <dcterms:created xsi:type="dcterms:W3CDTF">2020-02-22T07:29:27Z</dcterms:created>
  <dcterms:modified xsi:type="dcterms:W3CDTF">2023-04-23T09:00:24Z</dcterms:modified>
</cp:coreProperties>
</file>