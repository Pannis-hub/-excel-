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286" documentId="8_{3B084BB6-57FC-4E1C-AABB-6000A16EF5B1}" xr6:coauthVersionLast="47" xr6:coauthVersionMax="47" xr10:uidLastSave="{05B07935-F833-423B-838E-34BB3367C8EC}"/>
  <bookViews>
    <workbookView xWindow="1008" yWindow="1512" windowWidth="29412" windowHeight="14364" activeTab="2" xr2:uid="{00000000-000D-0000-FFFF-FFFF00000000}"/>
  </bookViews>
  <sheets>
    <sheet name="DEMO" sheetId="17" r:id="rId1"/>
    <sheet name="数据" sheetId="1" r:id="rId2"/>
    <sheet name="合并结果" sheetId="51" r:id="rId3"/>
    <sheet name="分列结果" sheetId="50" r:id="rId4"/>
    <sheet name="显著性提取" sheetId="33" r:id="rId5"/>
    <sheet name="显著性格式整理" sheetId="34" r:id="rId6"/>
    <sheet name="微生物的计算" sheetId="30" r:id="rId7"/>
    <sheet name="质构名词" sheetId="39" r:id="rId8"/>
  </sheets>
  <functionGroups builtInGroupCount="19"/>
  <definedNames>
    <definedName name="_xlnm._FilterDatabase" localSheetId="4" hidden="1">显著性提取!$H$5:$Q$17</definedName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6" i="33" l="1"/>
  <c r="S15" i="33"/>
  <c r="S14" i="33"/>
  <c r="S13" i="33"/>
  <c r="S12" i="33"/>
  <c r="S11" i="33"/>
  <c r="S10" i="33"/>
  <c r="S9" i="33"/>
  <c r="S8" i="33"/>
  <c r="S7" i="33"/>
  <c r="S6" i="33"/>
  <c r="S17" i="33"/>
  <c r="L22" i="39" l="1"/>
  <c r="L23" i="39"/>
  <c r="L24" i="39"/>
  <c r="L25" i="39"/>
  <c r="L26" i="39"/>
  <c r="L27" i="39"/>
  <c r="L28" i="39"/>
  <c r="L21" i="39"/>
  <c r="J22" i="39"/>
  <c r="J23" i="39"/>
  <c r="J24" i="39"/>
  <c r="J25" i="39"/>
  <c r="J26" i="39"/>
  <c r="J27" i="39"/>
  <c r="J28" i="39"/>
  <c r="J29" i="39"/>
  <c r="L29" i="39"/>
  <c r="J30" i="39"/>
  <c r="L30" i="39"/>
  <c r="J31" i="39"/>
  <c r="L31" i="39"/>
  <c r="J32" i="39"/>
  <c r="L32" i="39"/>
  <c r="M32" i="39"/>
  <c r="J33" i="39"/>
  <c r="L33" i="39"/>
  <c r="Q33" i="39"/>
  <c r="J34" i="39"/>
  <c r="L34" i="39"/>
  <c r="M34" i="39"/>
  <c r="N34" i="39"/>
  <c r="O34" i="39" s="1"/>
  <c r="P34" i="39" s="1"/>
  <c r="Q34" i="39"/>
  <c r="J35" i="39"/>
  <c r="L35" i="39"/>
  <c r="N35" i="39"/>
  <c r="O35" i="39"/>
  <c r="Q35" i="39"/>
  <c r="C29" i="39"/>
  <c r="D29" i="39"/>
  <c r="E29" i="39"/>
  <c r="F29" i="39"/>
  <c r="G29" i="39"/>
  <c r="Q29" i="39" s="1"/>
  <c r="H29" i="39"/>
  <c r="N29" i="39" s="1"/>
  <c r="O29" i="39" s="1"/>
  <c r="I29" i="39"/>
  <c r="M29" i="39" s="1"/>
  <c r="C30" i="39"/>
  <c r="D30" i="39"/>
  <c r="E30" i="39"/>
  <c r="F30" i="39"/>
  <c r="G30" i="39"/>
  <c r="Q30" i="39" s="1"/>
  <c r="H30" i="39"/>
  <c r="N30" i="39" s="1"/>
  <c r="O30" i="39" s="1"/>
  <c r="P30" i="39" s="1"/>
  <c r="I30" i="39"/>
  <c r="M30" i="39" s="1"/>
  <c r="C31" i="39"/>
  <c r="D31" i="39"/>
  <c r="E31" i="39"/>
  <c r="F31" i="39"/>
  <c r="G31" i="39"/>
  <c r="Q31" i="39" s="1"/>
  <c r="H31" i="39"/>
  <c r="N31" i="39" s="1"/>
  <c r="I31" i="39"/>
  <c r="M31" i="39" s="1"/>
  <c r="C32" i="39"/>
  <c r="D32" i="39"/>
  <c r="E32" i="39"/>
  <c r="F32" i="39"/>
  <c r="G32" i="39"/>
  <c r="Q32" i="39" s="1"/>
  <c r="H32" i="39"/>
  <c r="N32" i="39" s="1"/>
  <c r="I32" i="39"/>
  <c r="C33" i="39"/>
  <c r="D33" i="39"/>
  <c r="E33" i="39"/>
  <c r="F33" i="39"/>
  <c r="G33" i="39"/>
  <c r="H33" i="39"/>
  <c r="N33" i="39" s="1"/>
  <c r="O33" i="39" s="1"/>
  <c r="I33" i="39"/>
  <c r="M33" i="39" s="1"/>
  <c r="P33" i="39" s="1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M35" i="39" s="1"/>
  <c r="C22" i="39"/>
  <c r="D22" i="39"/>
  <c r="E22" i="39"/>
  <c r="F22" i="39"/>
  <c r="G22" i="39"/>
  <c r="H22" i="39"/>
  <c r="I22" i="39"/>
  <c r="M22" i="39" s="1"/>
  <c r="C23" i="39"/>
  <c r="D23" i="39"/>
  <c r="E23" i="39"/>
  <c r="F23" i="39"/>
  <c r="G23" i="39"/>
  <c r="Q23" i="39" s="1"/>
  <c r="H23" i="39"/>
  <c r="I23" i="39"/>
  <c r="M23" i="39" s="1"/>
  <c r="C24" i="39"/>
  <c r="D24" i="39"/>
  <c r="E24" i="39"/>
  <c r="F24" i="39"/>
  <c r="G24" i="39"/>
  <c r="H24" i="39"/>
  <c r="N24" i="39" s="1"/>
  <c r="O24" i="39" s="1"/>
  <c r="I24" i="39"/>
  <c r="M24" i="39" s="1"/>
  <c r="C25" i="39"/>
  <c r="D25" i="39"/>
  <c r="E25" i="39"/>
  <c r="F25" i="39"/>
  <c r="G25" i="39"/>
  <c r="H25" i="39"/>
  <c r="N25" i="39" s="1"/>
  <c r="I25" i="39"/>
  <c r="M25" i="39" s="1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Q28" i="39" s="1"/>
  <c r="H28" i="39"/>
  <c r="I28" i="39"/>
  <c r="H21" i="39"/>
  <c r="G21" i="39"/>
  <c r="F21" i="39"/>
  <c r="D21" i="39"/>
  <c r="C21" i="39"/>
  <c r="I21" i="39"/>
  <c r="E21" i="39"/>
  <c r="J21" i="39"/>
  <c r="A9" i="33"/>
  <c r="A4" i="33"/>
  <c r="A5" i="33"/>
  <c r="A6" i="33"/>
  <c r="A7" i="33"/>
  <c r="A8" i="33"/>
  <c r="A10" i="33"/>
  <c r="A11" i="33"/>
  <c r="A12" i="33"/>
  <c r="A3" i="33"/>
  <c r="P29" i="39" l="1"/>
  <c r="P24" i="39"/>
  <c r="Q21" i="39"/>
  <c r="M26" i="39"/>
  <c r="M28" i="39"/>
  <c r="N28" i="39"/>
  <c r="O28" i="39" s="1"/>
  <c r="P28" i="39" s="1"/>
  <c r="Q27" i="39"/>
  <c r="P35" i="39"/>
  <c r="M21" i="39"/>
  <c r="M27" i="39"/>
  <c r="Q25" i="39"/>
  <c r="N27" i="39"/>
  <c r="O27" i="39" s="1"/>
  <c r="P27" i="39" s="1"/>
  <c r="Q24" i="39"/>
  <c r="N26" i="39"/>
  <c r="O26" i="39" s="1"/>
  <c r="P26" i="39" s="1"/>
  <c r="N22" i="39"/>
  <c r="O22" i="39" s="1"/>
  <c r="Q22" i="39"/>
  <c r="Q26" i="39"/>
  <c r="N23" i="39"/>
  <c r="O23" i="39" s="1"/>
  <c r="P23" i="39" s="1"/>
  <c r="P22" i="39"/>
  <c r="O31" i="39"/>
  <c r="P31" i="39" s="1"/>
  <c r="O25" i="39"/>
  <c r="P25" i="39" s="1"/>
  <c r="O32" i="39"/>
  <c r="P32" i="39" s="1"/>
  <c r="N21" i="39"/>
  <c r="O21" i="39" s="1"/>
  <c r="P21" i="3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Zhaojing Jiang</author>
  </authors>
  <commentList>
    <comment ref="A1" authorId="0" shapeId="0" xr:uid="{0FBFAB36-63BC-4A2F-8FF3-115C5E3E6362}">
      <text>
        <r>
          <rPr>
            <b/>
            <sz val="9"/>
            <color indexed="81"/>
            <rFont val="宋体"/>
            <family val="3"/>
            <charset val="134"/>
          </rPr>
          <t>Zhaojing Jiang:</t>
        </r>
        <r>
          <rPr>
            <sz val="9"/>
            <color indexed="81"/>
            <rFont val="宋体"/>
            <family val="3"/>
            <charset val="134"/>
          </rPr>
          <t xml:space="preserve">
根据质构仪表格，将原始数据转变为N，然后重新计算转变后的数据。并在下列中输出。</t>
        </r>
      </text>
    </comment>
  </commentList>
</comments>
</file>

<file path=xl/sharedStrings.xml><?xml version="1.0" encoding="utf-8"?>
<sst xmlns="http://schemas.openxmlformats.org/spreadsheetml/2006/main" count="653" uniqueCount="266">
  <si>
    <t>a</t>
  </si>
  <si>
    <t>bc</t>
  </si>
  <si>
    <t>g</t>
  </si>
  <si>
    <t>cd</t>
  </si>
  <si>
    <t>Hardness</t>
  </si>
  <si>
    <t>Fracturability</t>
  </si>
  <si>
    <t>Adhesiveness</t>
  </si>
  <si>
    <t>Cohesiveness</t>
  </si>
  <si>
    <t>Springiness</t>
  </si>
  <si>
    <t>Gumminess</t>
  </si>
  <si>
    <t>Chewiness</t>
  </si>
  <si>
    <t>Resilience</t>
  </si>
  <si>
    <t>粘附性</t>
  </si>
  <si>
    <t>内聚性</t>
  </si>
  <si>
    <t>弹性</t>
  </si>
  <si>
    <t>胶着性（半固体）</t>
  </si>
  <si>
    <t>咀嚼性（固体）</t>
  </si>
  <si>
    <t>回复性</t>
  </si>
  <si>
    <t>转化前1</t>
    <phoneticPr fontId="2" type="noConversion"/>
  </si>
  <si>
    <t>转化前2</t>
    <phoneticPr fontId="2" type="noConversion"/>
  </si>
  <si>
    <t>转化前3</t>
  </si>
  <si>
    <t>转化前4</t>
  </si>
  <si>
    <t>转化前5</t>
  </si>
  <si>
    <t>转化前6</t>
  </si>
  <si>
    <t>转化前7</t>
  </si>
  <si>
    <t>转化前8</t>
  </si>
  <si>
    <t>转化前9</t>
  </si>
  <si>
    <t>转化前10</t>
  </si>
  <si>
    <t>转化前11</t>
  </si>
  <si>
    <t>转化前12</t>
  </si>
  <si>
    <t>转化前13</t>
  </si>
  <si>
    <t>转化前14</t>
  </si>
  <si>
    <t>后1</t>
    <phoneticPr fontId="2" type="noConversion"/>
  </si>
  <si>
    <t>后2</t>
    <phoneticPr fontId="2" type="noConversion"/>
  </si>
  <si>
    <t>后3</t>
  </si>
  <si>
    <t>后4</t>
  </si>
  <si>
    <t>后5</t>
  </si>
  <si>
    <t>后6</t>
  </si>
  <si>
    <t>后7</t>
  </si>
  <si>
    <t>后8</t>
  </si>
  <si>
    <t>后9</t>
  </si>
  <si>
    <t>后10</t>
  </si>
  <si>
    <t>后11</t>
  </si>
  <si>
    <t>后12</t>
  </si>
  <si>
    <t>后13</t>
  </si>
  <si>
    <t>后14</t>
  </si>
  <si>
    <t>后15</t>
  </si>
  <si>
    <t>转化前15</t>
  </si>
  <si>
    <t>Force 1</t>
  </si>
  <si>
    <t>Area-FT 1:2</t>
  </si>
  <si>
    <t>Time-diff. 1:2</t>
  </si>
  <si>
    <t>Area-FT 1:3</t>
  </si>
  <si>
    <t>Area-FT 2:3</t>
  </si>
  <si>
    <t>Area-FT 4:6</t>
  </si>
  <si>
    <t>Time-diff. 4:5</t>
  </si>
  <si>
    <t>g.sec</t>
  </si>
  <si>
    <t>sec</t>
  </si>
  <si>
    <t>Area (Traditional) F-T 1:2</t>
  </si>
  <si>
    <t>Time Difference 1:2</t>
  </si>
  <si>
    <t>Area (Traditional) F-T 1:3</t>
  </si>
  <si>
    <t>Area (Traditional) F-T 2:3</t>
  </si>
  <si>
    <t>Area (Traditional) F-T 4:6</t>
  </si>
  <si>
    <t>Time Difference 4:5</t>
  </si>
  <si>
    <t>Force 2</t>
  </si>
  <si>
    <t>Force 3</t>
  </si>
  <si>
    <t>Variable</t>
  </si>
  <si>
    <t>J#/F#</t>
    <phoneticPr fontId="6" type="noConversion"/>
  </si>
  <si>
    <t>I#/G#</t>
  </si>
  <si>
    <t>K#*O#</t>
  </si>
  <si>
    <t>P#*N#</t>
  </si>
  <si>
    <t>H#/E#</t>
  </si>
  <si>
    <t>N</t>
    <phoneticPr fontId="2" type="noConversion"/>
  </si>
  <si>
    <t>N.sec</t>
    <phoneticPr fontId="2" type="noConversion"/>
  </si>
  <si>
    <t>硬度</t>
    <phoneticPr fontId="2" type="noConversion"/>
  </si>
  <si>
    <t>脆性</t>
    <phoneticPr fontId="2" type="noConversion"/>
  </si>
  <si>
    <t>说明</t>
    <phoneticPr fontId="2" type="noConversion"/>
  </si>
  <si>
    <t>a</t>
    <phoneticPr fontId="2" type="noConversion"/>
  </si>
  <si>
    <t>b</t>
    <phoneticPr fontId="2" type="noConversion"/>
  </si>
  <si>
    <t>ngf</t>
    <phoneticPr fontId="2" type="noConversion"/>
  </si>
  <si>
    <t>fdb</t>
    <phoneticPr fontId="2" type="noConversion"/>
  </si>
  <si>
    <t/>
  </si>
  <si>
    <t>均值</t>
  </si>
  <si>
    <t>分组</t>
  </si>
  <si>
    <t>A</t>
  </si>
  <si>
    <t>CD</t>
  </si>
  <si>
    <t>AB</t>
  </si>
  <si>
    <t>ab</t>
  </si>
  <si>
    <t>BCD</t>
  </si>
  <si>
    <t>bcd</t>
  </si>
  <si>
    <t>S21</t>
  </si>
  <si>
    <t>S22</t>
  </si>
  <si>
    <t>S23</t>
  </si>
  <si>
    <t>20.57±0.50</t>
  </si>
  <si>
    <t>77.53±0.55</t>
  </si>
  <si>
    <t>1.87±0.25</t>
  </si>
  <si>
    <t>20.65±0.98</t>
  </si>
  <si>
    <t>77.48±1.19</t>
  </si>
  <si>
    <t>1.83±0.22</t>
  </si>
  <si>
    <t>21.83±0.17</t>
  </si>
  <si>
    <t>76.15±0.31</t>
  </si>
  <si>
    <t>2.05±0.17</t>
  </si>
  <si>
    <t>20.47±0.12</t>
  </si>
  <si>
    <t>77.33±0.15</t>
  </si>
  <si>
    <t>2.23±0.06</t>
  </si>
  <si>
    <t>20.13±0.10</t>
  </si>
  <si>
    <t>77.83±0.25</t>
  </si>
  <si>
    <t>2.08±0.21</t>
  </si>
  <si>
    <t>19.50±0.34</t>
  </si>
  <si>
    <t>78.50±0.54</t>
  </si>
  <si>
    <t>2.00±0.22</t>
  </si>
  <si>
    <t>20.67±0.21</t>
  </si>
  <si>
    <t>77.23±0.38</t>
  </si>
  <si>
    <t>2.10±0.20</t>
  </si>
  <si>
    <t>20.20±0.14</t>
  </si>
  <si>
    <t>77.83±0.26</t>
  </si>
  <si>
    <t>1.98±0.21</t>
  </si>
  <si>
    <t>19.30±1.07</t>
  </si>
  <si>
    <t>78.85±1.10</t>
  </si>
  <si>
    <t>1.83±0.05</t>
  </si>
  <si>
    <t>20.23±0.15</t>
  </si>
  <si>
    <t>77.77±0.31</t>
  </si>
  <si>
    <t>2.03±0.21</t>
  </si>
  <si>
    <t>19.67±0.12</t>
  </si>
  <si>
    <t>78.23±0.25</t>
  </si>
  <si>
    <t>2.07±0.15</t>
  </si>
  <si>
    <t>19.45±0.06</t>
  </si>
  <si>
    <t>78.55±0.17</t>
  </si>
  <si>
    <t>10°C-FT-0</t>
  </si>
  <si>
    <t>10°C-FT-2</t>
  </si>
  <si>
    <t>10°C-FT-4</t>
  </si>
  <si>
    <t>10°C-FT-6</t>
  </si>
  <si>
    <t>0°C-FT-0</t>
  </si>
  <si>
    <t>0°C-FT-2</t>
  </si>
  <si>
    <t>0°C-FT-4</t>
  </si>
  <si>
    <t>0°C-FT-6</t>
  </si>
  <si>
    <t>-10°C-FT-0</t>
  </si>
  <si>
    <t>-10°C-FT-2</t>
  </si>
  <si>
    <t>-10°C-FT-4</t>
  </si>
  <si>
    <t>-10°C-FT-6</t>
  </si>
  <si>
    <t>S21</t>
    <phoneticPr fontId="2" type="noConversion"/>
  </si>
  <si>
    <t>S22</t>
    <phoneticPr fontId="2" type="noConversion"/>
  </si>
  <si>
    <t>S23</t>
    <phoneticPr fontId="2" type="noConversion"/>
  </si>
  <si>
    <t>H-F</t>
  </si>
  <si>
    <t>19.60±0.08</t>
  </si>
  <si>
    <t>78.53±0.21</t>
  </si>
  <si>
    <t>1.90±0.14</t>
  </si>
  <si>
    <t>19.33±0.05</t>
  </si>
  <si>
    <t>78.83±0.10</t>
  </si>
  <si>
    <t>1.78±0.15</t>
  </si>
  <si>
    <t>80.13±1.16</t>
  </si>
  <si>
    <t>1.83±0.31</t>
  </si>
  <si>
    <t>19.30±0.00</t>
  </si>
  <si>
    <t>78.60±0.10</t>
  </si>
  <si>
    <t>2.10±0.00</t>
  </si>
  <si>
    <t>19.10±0.12</t>
  </si>
  <si>
    <t>78.90±0.08</t>
  </si>
  <si>
    <t>1.95±0.06</t>
  </si>
  <si>
    <t>80.58±1.12</t>
  </si>
  <si>
    <t>B</t>
  </si>
  <si>
    <t>C</t>
  </si>
  <si>
    <t>D</t>
  </si>
  <si>
    <t>-10°C-FT-0</t>
    <phoneticPr fontId="2" type="noConversion"/>
  </si>
  <si>
    <t>10°C-FT-6</t>
    <phoneticPr fontId="2" type="noConversion"/>
  </si>
  <si>
    <t>-10°C-FT-4</t>
    <phoneticPr fontId="2" type="noConversion"/>
  </si>
  <si>
    <t>-10°C-FT-2</t>
    <phoneticPr fontId="2" type="noConversion"/>
  </si>
  <si>
    <t>-10°C-FT-6</t>
    <phoneticPr fontId="2" type="noConversion"/>
  </si>
  <si>
    <t>BC</t>
  </si>
  <si>
    <t>d</t>
  </si>
  <si>
    <t>LF</t>
    <phoneticPr fontId="2" type="noConversion"/>
  </si>
  <si>
    <t>19.43±0.10</t>
  </si>
  <si>
    <t>78.75±0.17</t>
  </si>
  <si>
    <t>1.85±0.19</t>
  </si>
  <si>
    <t>19.25±0.06</t>
  </si>
  <si>
    <t>78.70±0.14</t>
  </si>
  <si>
    <t>2.03±0.13</t>
  </si>
  <si>
    <t>78.88±0.22</t>
  </si>
  <si>
    <t>2.00±0.18</t>
  </si>
  <si>
    <t>19.45±0.10</t>
  </si>
  <si>
    <t>78.65±0.13</t>
  </si>
  <si>
    <t>1.88±0.15</t>
  </si>
  <si>
    <t>19.13±0.05</t>
  </si>
  <si>
    <t>78.88±0.10</t>
  </si>
  <si>
    <t>1.98±0.10</t>
  </si>
  <si>
    <t>17.13±0.31</t>
  </si>
  <si>
    <t>80.87±0.31</t>
  </si>
  <si>
    <t>2.00±0.00</t>
  </si>
  <si>
    <t>10°C-FT-0</t>
    <phoneticPr fontId="2" type="noConversion"/>
  </si>
  <si>
    <t>10°C-FT-2</t>
    <phoneticPr fontId="2" type="noConversion"/>
  </si>
  <si>
    <t>10°C-FT-4</t>
    <phoneticPr fontId="2" type="noConversion"/>
  </si>
  <si>
    <t>0°C-FT-0</t>
    <phoneticPr fontId="2" type="noConversion"/>
  </si>
  <si>
    <t>0°C-FT-2</t>
    <phoneticPr fontId="2" type="noConversion"/>
  </si>
  <si>
    <t>0°C-FT-4</t>
    <phoneticPr fontId="2" type="noConversion"/>
  </si>
  <si>
    <t>0°C-FT-6</t>
    <phoneticPr fontId="2" type="noConversion"/>
  </si>
  <si>
    <t>b</t>
  </si>
  <si>
    <t>20.68±1.01</t>
  </si>
  <si>
    <t>77.13±1.20</t>
  </si>
  <si>
    <t>2.28±0.17</t>
  </si>
  <si>
    <t>19.50±0.14</t>
  </si>
  <si>
    <t>78.33±0.05</t>
  </si>
  <si>
    <t>2.20±0.18</t>
  </si>
  <si>
    <t>79.18±0.96</t>
  </si>
  <si>
    <t>2.08±0.19</t>
  </si>
  <si>
    <t>19.53±0.05</t>
  </si>
  <si>
    <t>78.48±0.17</t>
  </si>
  <si>
    <t>2.00±0.14</t>
  </si>
  <si>
    <t>18.83±1.02</t>
  </si>
  <si>
    <t>79.20±0.99</t>
  </si>
  <si>
    <t>2.00±0.27</t>
  </si>
  <si>
    <t>80.27±0.64</t>
  </si>
  <si>
    <t>1.83±0.15</t>
  </si>
  <si>
    <r>
      <t>21.83±0.17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</si>
  <si>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76.15±0.31</t>
    </r>
    <r>
      <rPr>
        <vertAlign val="superscript"/>
        <sz val="11"/>
        <color theme="1"/>
        <rFont val="等线"/>
        <family val="3"/>
        <charset val="134"/>
        <scheme val="minor"/>
      </rPr>
      <t>d</t>
    </r>
    <phoneticPr fontId="2" type="noConversion"/>
  </si>
  <si>
    <r>
      <t>2.05±0.17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</si>
  <si>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20.23±0.15</t>
    </r>
    <r>
      <rPr>
        <vertAlign val="superscript"/>
        <sz val="11"/>
        <color theme="1"/>
        <rFont val="等线"/>
        <family val="3"/>
        <charset val="134"/>
        <scheme val="minor"/>
      </rPr>
      <t>b</t>
    </r>
    <phoneticPr fontId="2" type="noConversion"/>
  </si>
  <si>
    <r>
      <t>77.77±0.31</t>
    </r>
    <r>
      <rPr>
        <vertAlign val="superscript"/>
        <sz val="11"/>
        <color theme="1"/>
        <rFont val="等线"/>
        <family val="3"/>
        <charset val="134"/>
        <scheme val="minor"/>
      </rPr>
      <t>bcd</t>
    </r>
    <phoneticPr fontId="2" type="noConversion"/>
  </si>
  <si>
    <r>
      <t>2.03±0.21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</si>
  <si>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19.67±0.12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</si>
  <si>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78.23±0.25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</si>
  <si>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2.07±0.15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</si>
  <si>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19.45±0.06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</si>
  <si>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78.55±0.17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</si>
  <si>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2.00±0.22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</si>
  <si>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20.68±1.01</t>
    </r>
    <r>
      <rPr>
        <vertAlign val="superscript"/>
        <sz val="11"/>
        <color theme="1"/>
        <rFont val="等线"/>
        <family val="3"/>
        <charset val="134"/>
        <scheme val="minor"/>
      </rPr>
      <t>ab</t>
    </r>
    <phoneticPr fontId="2" type="noConversion"/>
  </si>
  <si>
    <r>
      <t>77.13±1.20</t>
    </r>
    <r>
      <rPr>
        <vertAlign val="superscript"/>
        <sz val="11"/>
        <color theme="1"/>
        <rFont val="等线"/>
        <family val="3"/>
        <charset val="134"/>
        <scheme val="minor"/>
      </rPr>
      <t>cd</t>
    </r>
    <phoneticPr fontId="2" type="noConversion"/>
  </si>
  <si>
    <r>
      <t>2.28±0.17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</si>
  <si>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19.50±0.14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</si>
  <si>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78.33±0.05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</si>
  <si>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2.20±0.18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</si>
  <si>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18.75±0.78</t>
    </r>
    <r>
      <rPr>
        <vertAlign val="superscript"/>
        <sz val="11"/>
        <color theme="1"/>
        <rFont val="等线"/>
        <family val="3"/>
        <charset val="134"/>
        <scheme val="minor"/>
      </rPr>
      <t>cd</t>
    </r>
    <phoneticPr fontId="2" type="noConversion"/>
  </si>
  <si>
    <r>
      <t>79.18±0.96</t>
    </r>
    <r>
      <rPr>
        <vertAlign val="superscript"/>
        <sz val="11"/>
        <color theme="1"/>
        <rFont val="等线"/>
        <family val="3"/>
        <charset val="134"/>
        <scheme val="minor"/>
      </rPr>
      <t>ab</t>
    </r>
    <phoneticPr fontId="2" type="noConversion"/>
  </si>
  <si>
    <r>
      <t>2.08±0.19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</si>
  <si>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19.53±0.05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</si>
  <si>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78.48±0.17</t>
    </r>
    <r>
      <rPr>
        <vertAlign val="superscript"/>
        <sz val="11"/>
        <color theme="1"/>
        <rFont val="等线"/>
        <family val="3"/>
        <charset val="134"/>
        <scheme val="minor"/>
      </rPr>
      <t>bc</t>
    </r>
    <phoneticPr fontId="2" type="noConversion"/>
  </si>
  <si>
    <r>
      <t>2.00±0.14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</si>
  <si>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18.83±1.02</t>
    </r>
    <r>
      <rPr>
        <vertAlign val="superscript"/>
        <sz val="11"/>
        <color theme="1"/>
        <rFont val="等线"/>
        <family val="3"/>
        <charset val="134"/>
        <scheme val="minor"/>
      </rPr>
      <t>cd</t>
    </r>
    <phoneticPr fontId="2" type="noConversion"/>
  </si>
  <si>
    <r>
      <t>79.20±0.99</t>
    </r>
    <r>
      <rPr>
        <vertAlign val="superscript"/>
        <sz val="11"/>
        <color theme="1"/>
        <rFont val="等线"/>
        <family val="3"/>
        <charset val="134"/>
        <scheme val="minor"/>
      </rPr>
      <t>ab</t>
    </r>
    <phoneticPr fontId="2" type="noConversion"/>
  </si>
  <si>
    <r>
      <t>2.00±0.27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</si>
  <si>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17.83±0.55</t>
    </r>
    <r>
      <rPr>
        <vertAlign val="superscript"/>
        <sz val="11"/>
        <color theme="1"/>
        <rFont val="等线"/>
        <family val="3"/>
        <charset val="134"/>
        <scheme val="minor"/>
      </rPr>
      <t>d</t>
    </r>
    <phoneticPr fontId="2" type="noConversion"/>
  </si>
  <si>
    <r>
      <t>80.27±0.64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</si>
  <si>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r>
      <t>1.83±0.15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phoneticPr fontId="2" type="noConversion"/>
  </si>
  <si>
    <t>17.07±0.06</t>
  </si>
  <si>
    <t>18.15±0.07</t>
  </si>
  <si>
    <t>17.70±0.78</t>
  </si>
  <si>
    <t>19.07±0.06</t>
  </si>
  <si>
    <t>18.57±0.84</t>
  </si>
  <si>
    <t>FT-0_-10°C</t>
  </si>
  <si>
    <t>FT-2_-10°C</t>
  </si>
  <si>
    <t>FT-4_-10°C</t>
  </si>
  <si>
    <t>FT-6_-10°C</t>
  </si>
  <si>
    <t>FT-0_0°C</t>
  </si>
  <si>
    <t>FT-2_0°C</t>
  </si>
  <si>
    <t>FT-4_0°C</t>
  </si>
  <si>
    <t>FT-6_0°C</t>
  </si>
  <si>
    <t>FT-0_10°C</t>
  </si>
  <si>
    <t>FT-2_10°C</t>
  </si>
  <si>
    <t>FT-4_10°C</t>
  </si>
  <si>
    <t>FT-6_10°C</t>
  </si>
  <si>
    <t>A21-LF</t>
  </si>
  <si>
    <t>A21-MF</t>
  </si>
  <si>
    <t>A21-HF</t>
  </si>
  <si>
    <t>A22-LF</t>
  </si>
  <si>
    <t>A22-MF</t>
  </si>
  <si>
    <t>A22-HF</t>
  </si>
  <si>
    <t>A23-LF</t>
  </si>
  <si>
    <t>A23-MF</t>
  </si>
  <si>
    <t>A23-HF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</si>
</sst>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2"/>
      <charset val="134"/>
      <scheme val="minor"/>
    </font>
    <font>
      <b/>
      <sz val="11.25"/>
      <color rgb="FFFF0000"/>
      <name val="-apple-system"/>
      <family val="2"/>
    </font>
    <font>
      <b/>
      <sz val="11"/>
      <color rgb="FFFF0000"/>
      <name val="Microsoft YaHei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Times New Roma"/>
      <family val="1"/>
    </font>
    <font>
      <sz val="11"/>
      <color theme="1"/>
      <name val="Times New Roma"/>
    </font>
    <font>
      <i/>
      <sz val="11.5"/>
      <color rgb="FF000000"/>
      <name val="宋体"/>
      <family val="3"/>
      <charset val="134"/>
    </font>
    <font>
      <vertAlign val="superscript"/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4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1"/>
    <xf numFmtId="49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7" fillId="4" borderId="0" xfId="0" applyFont="1" applyFill="1">
      <alignment vertical="center"/>
    </xf>
    <xf numFmtId="0" fontId="8" fillId="4" borderId="2" xfId="0" applyFont="1" applyFill="1" applyBorder="1" applyAlignment="1">
      <alignment vertical="center" wrapText="1"/>
    </xf>
    <xf numFmtId="0" fontId="9" fillId="4" borderId="0" xfId="0" applyFont="1" applyFill="1">
      <alignment vertical="center"/>
    </xf>
    <xf numFmtId="0" fontId="9" fillId="4" borderId="2" xfId="0" applyFont="1" applyFill="1" applyBorder="1" applyAlignment="1">
      <alignment vertical="center" wrapText="1"/>
    </xf>
    <xf numFmtId="0" fontId="0" fillId="0" borderId="0" xfId="0" applyAlignment="1" applyProtection="1"/>
    <xf numFmtId="0" fontId="1" fillId="0" borderId="0" xfId="1" applyFont="1"/>
    <xf numFmtId="0" fontId="14" fillId="0" borderId="0" xfId="0" applyFont="1">
      <alignment vertical="center"/>
    </xf>
    <xf numFmtId="49" fontId="14" fillId="0" borderId="0" xfId="0" applyNumberFormat="1" applyFont="1">
      <alignment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>
      <alignment vertical="center"/>
    </xf>
    <xf numFmtId="176" fontId="14" fillId="0" borderId="0" xfId="0" applyNumberFormat="1" applyFont="1">
      <alignment vertical="center"/>
    </xf>
    <xf numFmtId="4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49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49" fontId="0" fillId="0" borderId="7" xfId="0" applyNumberFormat="1" applyBorder="1">
      <alignment vertical="center"/>
    </xf>
    <xf numFmtId="0" fontId="0" fillId="0" borderId="7" xfId="0" applyBorder="1">
      <alignment vertical="center"/>
    </xf>
    <xf numFmtId="49" fontId="0" fillId="0" borderId="8" xfId="0" applyNumberFormat="1" applyBorder="1">
      <alignment vertical="center"/>
    </xf>
    <xf numFmtId="0" fontId="0" fillId="0" borderId="9" xfId="0" applyBorder="1">
      <alignment vertical="center"/>
    </xf>
    <xf numFmtId="0" fontId="15" fillId="0" borderId="0" xfId="0" applyFont="1">
      <alignment vertical="center"/>
    </xf>
    <xf numFmtId="49" fontId="0" fillId="0" borderId="3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</cellXfs>
  <cellStyles count="3">
    <cellStyle name="常规" xfId="0" builtinId="0"/>
    <cellStyle name="常规 2" xfId="1" xr:uid="{00000000-0005-0000-0000-000002000000}"/>
    <cellStyle name="常规 3" xfId="2" xr:uid="{00000000-0005-0000-0000-000003000000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251460</xdr:colOff>
          <xdr:row>4</xdr:row>
          <xdr:rowOff>45720</xdr:rowOff>
        </xdr:from>
        <xdr:to>
          <xdr:col>18</xdr:col>
          <xdr:colOff>335280</xdr:colOff>
          <xdr:row>8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22860</xdr:rowOff>
        </xdr:from>
        <xdr:to>
          <xdr:col>1</xdr:col>
          <xdr:colOff>76200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53340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99060</xdr:rowOff>
        </xdr:from>
        <xdr:to>
          <xdr:col>1</xdr:col>
          <xdr:colOff>205740</xdr:colOff>
          <xdr:row>15</xdr:row>
          <xdr:rowOff>152400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5" workbookViewId="0">
      <selection activeCell="D47" sqref="D47"/>
    </sheetView>
  </sheetViews>
  <sheetFormatPr defaultRowHeight="13.8"/>
  <cols>
    <col min="1" max="16384" width="8.88671875" style="1"/>
  </cols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214"/>
  <sheetViews>
    <sheetView topLeftCell="A4" zoomScale="70" zoomScaleNormal="70" workbookViewId="0">
      <selection activeCell="F5" sqref="F5"/>
    </sheetView>
  </sheetViews>
  <sheetFormatPr defaultRowHeight="13.8"/>
  <cols>
    <col min="1" max="5" width="8.88671875" style="4"/>
    <col min="6" max="6" width="12.21875" style="4" customWidth="1"/>
    <col min="7" max="7" width="8.88671875" style="4"/>
    <col min="8" max="8" width="11.77734375" style="4" customWidth="1"/>
    <col min="9" max="16384" width="8.88671875" style="4"/>
  </cols>
  <sheetData>
    <row r="1" spans="1:38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</row>
    <row r="2" spans="1:38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</row>
    <row r="3" spans="1:38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</row>
    <row r="4" spans="1:38" ht="14.4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4.4" thickBot="1">
      <c r="A5" s="3"/>
      <c r="B5" s="3"/>
      <c r="C5" s="3"/>
      <c r="D5" s="3"/>
      <c r="E5" s="3"/>
      <c r="F5" s="20"/>
      <c r="G5" s="33" t="s">
        <v>257</v>
      </c>
      <c r="H5" s="34" t="s">
        <v>258</v>
      </c>
      <c r="I5" s="34" t="s">
        <v>259</v>
      </c>
      <c r="J5" s="34" t="s">
        <v>260</v>
      </c>
      <c r="K5" s="34" t="s">
        <v>261</v>
      </c>
      <c r="L5" s="34" t="s">
        <v>262</v>
      </c>
      <c r="M5" s="34" t="s">
        <v>263</v>
      </c>
      <c r="N5" s="34" t="s">
        <v>264</v>
      </c>
      <c r="O5" s="35" t="s">
        <v>265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>
      <c r="A6" s="3"/>
      <c r="B6" s="3"/>
      <c r="C6" s="3"/>
      <c r="D6" s="3"/>
      <c r="E6" s="3"/>
      <c r="F6" s="30" t="s">
        <v>253</v>
      </c>
      <c r="G6" s="22">
        <v>20.100000000000001</v>
      </c>
      <c r="H6" s="22">
        <v>21.4</v>
      </c>
      <c r="I6" s="22">
        <v>21.9</v>
      </c>
      <c r="J6" s="22">
        <v>77.8</v>
      </c>
      <c r="K6" s="22">
        <v>76.599999999999994</v>
      </c>
      <c r="L6" s="22">
        <v>75.8</v>
      </c>
      <c r="M6" s="22">
        <v>2.1</v>
      </c>
      <c r="N6" s="22">
        <v>1.9</v>
      </c>
      <c r="O6" s="25">
        <v>2.2999999999999998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>
      <c r="A7" s="3"/>
      <c r="B7" s="3"/>
      <c r="C7" s="3"/>
      <c r="D7" s="3"/>
      <c r="E7" s="3"/>
      <c r="F7" s="28" t="s">
        <v>253</v>
      </c>
      <c r="G7" s="22">
        <v>21.099999999999998</v>
      </c>
      <c r="H7" s="22">
        <v>21.6</v>
      </c>
      <c r="I7" s="22">
        <v>22</v>
      </c>
      <c r="J7" s="22">
        <v>76.900000000000006</v>
      </c>
      <c r="K7" s="22">
        <v>76.3</v>
      </c>
      <c r="L7" s="22">
        <v>76</v>
      </c>
      <c r="M7" s="22">
        <v>1.9</v>
      </c>
      <c r="N7" s="22">
        <v>2.1</v>
      </c>
      <c r="O7" s="25">
        <v>2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>
      <c r="A8" s="3"/>
      <c r="B8" s="3"/>
      <c r="C8" s="3"/>
      <c r="D8" s="3"/>
      <c r="E8" s="3"/>
      <c r="F8" s="28" t="s">
        <v>253</v>
      </c>
      <c r="G8" s="22" t="s">
        <v>80</v>
      </c>
      <c r="H8" s="22">
        <v>19.8</v>
      </c>
      <c r="I8" s="22">
        <v>21.8</v>
      </c>
      <c r="J8" s="22" t="s">
        <v>80</v>
      </c>
      <c r="K8" s="22">
        <v>78.5</v>
      </c>
      <c r="L8" s="22">
        <v>76.3</v>
      </c>
      <c r="M8" s="22" t="s">
        <v>80</v>
      </c>
      <c r="N8" s="22">
        <v>1.7000000000000002</v>
      </c>
      <c r="O8" s="25">
        <v>2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>
      <c r="A9" s="3"/>
      <c r="B9" s="3"/>
      <c r="C9" s="3"/>
      <c r="D9" s="3"/>
      <c r="E9" s="3"/>
      <c r="F9" s="28" t="s">
        <v>253</v>
      </c>
      <c r="G9" s="22">
        <v>20.5</v>
      </c>
      <c r="H9" s="22">
        <v>19.8</v>
      </c>
      <c r="I9" s="22">
        <v>21.6</v>
      </c>
      <c r="J9" s="22">
        <v>77.900000000000006</v>
      </c>
      <c r="K9" s="22">
        <v>78.5</v>
      </c>
      <c r="L9" s="22">
        <v>76.5</v>
      </c>
      <c r="M9" s="22">
        <v>1.6</v>
      </c>
      <c r="N9" s="22">
        <v>1.6</v>
      </c>
      <c r="O9" s="25">
        <v>1.9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>
      <c r="A10" s="3"/>
      <c r="B10" s="3"/>
      <c r="C10" s="3"/>
      <c r="D10" s="3"/>
      <c r="E10" s="3"/>
      <c r="F10" s="28" t="s">
        <v>254</v>
      </c>
      <c r="G10" s="22">
        <v>19.3</v>
      </c>
      <c r="H10" s="22">
        <v>19.5</v>
      </c>
      <c r="I10" s="22">
        <v>19.600000000000001</v>
      </c>
      <c r="J10" s="22">
        <v>78.7</v>
      </c>
      <c r="K10" s="22">
        <v>78.7</v>
      </c>
      <c r="L10" s="22">
        <v>78.3</v>
      </c>
      <c r="M10" s="22">
        <v>2.0999999999999996</v>
      </c>
      <c r="N10" s="22">
        <v>1.7999999999999998</v>
      </c>
      <c r="O10" s="25">
        <v>2.1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>
      <c r="A11" s="3"/>
      <c r="B11" s="3"/>
      <c r="C11" s="3"/>
      <c r="D11" s="3"/>
      <c r="E11" s="3"/>
      <c r="F11" s="28" t="s">
        <v>254</v>
      </c>
      <c r="G11" s="22">
        <v>19.3</v>
      </c>
      <c r="H11" s="22">
        <v>19.5</v>
      </c>
      <c r="I11" s="22">
        <v>19.5</v>
      </c>
      <c r="J11" s="22">
        <v>78.600000000000009</v>
      </c>
      <c r="K11" s="22">
        <v>78.5</v>
      </c>
      <c r="L11" s="22">
        <v>78.7</v>
      </c>
      <c r="M11" s="22">
        <v>2.1</v>
      </c>
      <c r="N11" s="22">
        <v>2</v>
      </c>
      <c r="O11" s="25">
        <v>1.8000000000000003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>
      <c r="A12" s="3"/>
      <c r="B12" s="3"/>
      <c r="C12" s="3"/>
      <c r="D12" s="3"/>
      <c r="E12" s="3"/>
      <c r="F12" s="28" t="s">
        <v>254</v>
      </c>
      <c r="G12" s="22" t="s">
        <v>80</v>
      </c>
      <c r="H12" s="22">
        <v>19.3</v>
      </c>
      <c r="I12" s="22">
        <v>19.5</v>
      </c>
      <c r="J12" s="22" t="s">
        <v>80</v>
      </c>
      <c r="K12" s="22">
        <v>78.600000000000009</v>
      </c>
      <c r="L12" s="22">
        <v>78.400000000000006</v>
      </c>
      <c r="M12" s="22" t="s">
        <v>80</v>
      </c>
      <c r="N12" s="22">
        <v>2</v>
      </c>
      <c r="O12" s="25">
        <v>2.1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>
      <c r="A13" s="3"/>
      <c r="B13" s="3"/>
      <c r="C13" s="3"/>
      <c r="D13" s="3"/>
      <c r="E13" s="3"/>
      <c r="F13" s="28" t="s">
        <v>254</v>
      </c>
      <c r="G13" s="22">
        <v>19.3</v>
      </c>
      <c r="H13" s="22">
        <v>19.5</v>
      </c>
      <c r="I13" s="22">
        <v>19.5</v>
      </c>
      <c r="J13" s="22">
        <v>78.5</v>
      </c>
      <c r="K13" s="22">
        <v>78.8</v>
      </c>
      <c r="L13" s="22">
        <v>78.5</v>
      </c>
      <c r="M13" s="22">
        <v>2.1</v>
      </c>
      <c r="N13" s="22">
        <v>1.7000000000000002</v>
      </c>
      <c r="O13" s="25">
        <v>2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>
      <c r="A14" s="3"/>
      <c r="B14" s="3"/>
      <c r="C14" s="3"/>
      <c r="D14" s="3"/>
      <c r="E14" s="3"/>
      <c r="F14" s="28" t="s">
        <v>255</v>
      </c>
      <c r="G14" s="22">
        <v>19.2</v>
      </c>
      <c r="H14" s="22">
        <v>19.2</v>
      </c>
      <c r="I14" s="22">
        <v>19.400000000000002</v>
      </c>
      <c r="J14" s="22">
        <v>78.900000000000006</v>
      </c>
      <c r="K14" s="22">
        <v>78.900000000000006</v>
      </c>
      <c r="L14" s="22">
        <v>78.5</v>
      </c>
      <c r="M14" s="22">
        <v>1.9</v>
      </c>
      <c r="N14" s="22">
        <v>1.9</v>
      </c>
      <c r="O14" s="25">
        <v>2.1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>
      <c r="A15" s="3"/>
      <c r="B15" s="3"/>
      <c r="C15" s="3"/>
      <c r="D15" s="3"/>
      <c r="E15" s="3"/>
      <c r="F15" s="28" t="s">
        <v>255</v>
      </c>
      <c r="G15" s="22">
        <v>19.2</v>
      </c>
      <c r="H15" s="22">
        <v>19.100000000000001</v>
      </c>
      <c r="I15" s="22">
        <v>19.3</v>
      </c>
      <c r="J15" s="22">
        <v>78.8</v>
      </c>
      <c r="K15" s="22">
        <v>78.8</v>
      </c>
      <c r="L15" s="22">
        <v>79.2</v>
      </c>
      <c r="M15" s="22">
        <v>2</v>
      </c>
      <c r="N15" s="22">
        <v>2.1</v>
      </c>
      <c r="O15" s="25">
        <v>1.6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>
      <c r="A16" s="3"/>
      <c r="B16" s="3"/>
      <c r="C16" s="3"/>
      <c r="D16" s="3"/>
      <c r="E16" s="3"/>
      <c r="F16" s="28" t="s">
        <v>255</v>
      </c>
      <c r="G16" s="22">
        <v>19</v>
      </c>
      <c r="H16" s="22">
        <v>19.100000000000001</v>
      </c>
      <c r="I16" s="22">
        <v>17.299999999999997</v>
      </c>
      <c r="J16" s="22">
        <v>79</v>
      </c>
      <c r="K16" s="22">
        <v>78.8</v>
      </c>
      <c r="L16" s="22">
        <v>80.600000000000009</v>
      </c>
      <c r="M16" s="22">
        <v>1.9</v>
      </c>
      <c r="N16" s="22">
        <v>2</v>
      </c>
      <c r="O16" s="25">
        <v>2.1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>
      <c r="A17" s="3"/>
      <c r="B17" s="3"/>
      <c r="C17" s="3"/>
      <c r="D17" s="3"/>
      <c r="E17" s="3"/>
      <c r="F17" s="28" t="s">
        <v>255</v>
      </c>
      <c r="G17" s="22">
        <v>19</v>
      </c>
      <c r="H17" s="22">
        <v>19.100000000000001</v>
      </c>
      <c r="I17" s="22">
        <v>19.3</v>
      </c>
      <c r="J17" s="22">
        <v>78.900000000000006</v>
      </c>
      <c r="K17" s="22">
        <v>79</v>
      </c>
      <c r="L17" s="22">
        <v>78.5</v>
      </c>
      <c r="M17" s="22">
        <v>1.9999999999999998</v>
      </c>
      <c r="N17" s="22">
        <v>1.9</v>
      </c>
      <c r="O17" s="25">
        <v>2.1999999999999997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>
      <c r="A18" s="3"/>
      <c r="B18" s="3"/>
      <c r="C18" s="3"/>
      <c r="D18" s="3"/>
      <c r="E18" s="3"/>
      <c r="F18" s="28" t="s">
        <v>256</v>
      </c>
      <c r="G18" s="22">
        <v>17.100000000000001</v>
      </c>
      <c r="H18" s="22">
        <v>17.2</v>
      </c>
      <c r="I18" s="22" t="s">
        <v>80</v>
      </c>
      <c r="J18" s="22">
        <v>81.100000000000009</v>
      </c>
      <c r="K18" s="22">
        <v>80.800000000000011</v>
      </c>
      <c r="L18" s="22" t="s">
        <v>80</v>
      </c>
      <c r="M18" s="22">
        <v>1.8000000000000003</v>
      </c>
      <c r="N18" s="22">
        <v>2</v>
      </c>
      <c r="O18" s="25" t="s">
        <v>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>
      <c r="A19" s="3"/>
      <c r="B19" s="3"/>
      <c r="C19" s="3"/>
      <c r="D19" s="3"/>
      <c r="E19" s="3"/>
      <c r="F19" s="28" t="s">
        <v>256</v>
      </c>
      <c r="G19" s="22">
        <v>17.100000000000001</v>
      </c>
      <c r="H19" s="22">
        <v>17.399999999999999</v>
      </c>
      <c r="I19" s="22">
        <v>18.2</v>
      </c>
      <c r="J19" s="22">
        <v>81.2</v>
      </c>
      <c r="K19" s="22">
        <v>80.600000000000009</v>
      </c>
      <c r="L19" s="22">
        <v>80</v>
      </c>
      <c r="M19" s="22">
        <v>1.8000000000000003</v>
      </c>
      <c r="N19" s="22">
        <v>2</v>
      </c>
      <c r="O19" s="25">
        <v>1.7000000000000002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>
      <c r="A20" s="3"/>
      <c r="B20" s="3"/>
      <c r="C20" s="3"/>
      <c r="D20" s="3"/>
      <c r="E20" s="3"/>
      <c r="F20" s="28" t="s">
        <v>256</v>
      </c>
      <c r="G20" s="22" t="s">
        <v>80</v>
      </c>
      <c r="H20" s="22" t="s">
        <v>80</v>
      </c>
      <c r="I20" s="22" t="s">
        <v>80</v>
      </c>
      <c r="J20" s="22">
        <v>78.900000000000006</v>
      </c>
      <c r="K20" s="22" t="s">
        <v>80</v>
      </c>
      <c r="L20" s="22">
        <v>81</v>
      </c>
      <c r="M20" s="22">
        <v>2.1</v>
      </c>
      <c r="N20" s="22" t="s">
        <v>80</v>
      </c>
      <c r="O20" s="25">
        <v>1.8000000000000003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>
      <c r="A21" s="3"/>
      <c r="B21" s="3"/>
      <c r="C21" s="3"/>
      <c r="D21" s="3"/>
      <c r="E21" s="3"/>
      <c r="F21" s="28" t="s">
        <v>256</v>
      </c>
      <c r="G21" s="22">
        <v>17</v>
      </c>
      <c r="H21" s="22">
        <v>16.8</v>
      </c>
      <c r="I21" s="22">
        <v>18.099999999999998</v>
      </c>
      <c r="J21" s="22">
        <v>81.100000000000009</v>
      </c>
      <c r="K21" s="22">
        <v>81.2</v>
      </c>
      <c r="L21" s="22">
        <v>79.800000000000011</v>
      </c>
      <c r="M21" s="22">
        <v>1.9000000000000004</v>
      </c>
      <c r="N21" s="22">
        <v>2</v>
      </c>
      <c r="O21" s="25">
        <v>2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>
      <c r="A22" s="3"/>
      <c r="B22" s="3"/>
      <c r="C22" s="3"/>
      <c r="D22" s="3"/>
      <c r="E22" s="3"/>
      <c r="F22" s="28" t="s">
        <v>249</v>
      </c>
      <c r="G22" s="22">
        <v>21.099999999999998</v>
      </c>
      <c r="H22" s="22">
        <v>21.6</v>
      </c>
      <c r="I22" s="22">
        <v>22</v>
      </c>
      <c r="J22" s="22">
        <v>76.900000000000006</v>
      </c>
      <c r="K22" s="22">
        <v>76.3</v>
      </c>
      <c r="L22" s="22">
        <v>76</v>
      </c>
      <c r="M22" s="22">
        <v>1.9</v>
      </c>
      <c r="N22" s="22">
        <v>2.1</v>
      </c>
      <c r="O22" s="25">
        <v>2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>
      <c r="A23" s="3"/>
      <c r="B23" s="3"/>
      <c r="C23" s="3"/>
      <c r="D23" s="3"/>
      <c r="E23" s="3"/>
      <c r="F23" s="28" t="s">
        <v>249</v>
      </c>
      <c r="G23" s="22">
        <v>20.100000000000001</v>
      </c>
      <c r="H23" s="22">
        <v>21.4</v>
      </c>
      <c r="I23" s="22">
        <v>21.9</v>
      </c>
      <c r="J23" s="22">
        <v>77.8</v>
      </c>
      <c r="K23" s="22">
        <v>76.599999999999994</v>
      </c>
      <c r="L23" s="22">
        <v>75.8</v>
      </c>
      <c r="M23" s="22">
        <v>2.1</v>
      </c>
      <c r="N23" s="22">
        <v>1.9</v>
      </c>
      <c r="O23" s="25">
        <v>2.2999999999999998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>
      <c r="A24" s="3"/>
      <c r="B24" s="3"/>
      <c r="C24" s="3"/>
      <c r="D24" s="3"/>
      <c r="E24" s="3"/>
      <c r="F24" s="28" t="s">
        <v>249</v>
      </c>
      <c r="G24" s="22" t="s">
        <v>80</v>
      </c>
      <c r="H24" s="22">
        <v>19.8</v>
      </c>
      <c r="I24" s="22">
        <v>21.8</v>
      </c>
      <c r="J24" s="22" t="s">
        <v>80</v>
      </c>
      <c r="K24" s="22">
        <v>78.5</v>
      </c>
      <c r="L24" s="22">
        <v>76.3</v>
      </c>
      <c r="M24" s="22" t="s">
        <v>80</v>
      </c>
      <c r="N24" s="22">
        <v>1.7000000000000002</v>
      </c>
      <c r="O24" s="25">
        <v>2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>
      <c r="A25" s="3"/>
      <c r="B25" s="3"/>
      <c r="C25" s="3"/>
      <c r="D25" s="3"/>
      <c r="E25" s="3"/>
      <c r="F25" s="28" t="s">
        <v>249</v>
      </c>
      <c r="G25" s="22">
        <v>20.5</v>
      </c>
      <c r="H25" s="22">
        <v>19.8</v>
      </c>
      <c r="I25" s="22">
        <v>21.6</v>
      </c>
      <c r="J25" s="22">
        <v>77.900000000000006</v>
      </c>
      <c r="K25" s="22">
        <v>78.5</v>
      </c>
      <c r="L25" s="22">
        <v>76.5</v>
      </c>
      <c r="M25" s="22">
        <v>1.6</v>
      </c>
      <c r="N25" s="22">
        <v>1.6</v>
      </c>
      <c r="O25" s="25">
        <v>1.9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>
      <c r="A26" s="3"/>
      <c r="B26" s="3"/>
      <c r="C26" s="3"/>
      <c r="D26" s="3"/>
      <c r="E26" s="3"/>
      <c r="F26" s="28" t="s">
        <v>250</v>
      </c>
      <c r="G26" s="22">
        <v>19.7</v>
      </c>
      <c r="H26" s="22">
        <v>19.5</v>
      </c>
      <c r="I26" s="22">
        <v>21.6</v>
      </c>
      <c r="J26" s="22">
        <v>78.3</v>
      </c>
      <c r="K26" s="22">
        <v>78.5</v>
      </c>
      <c r="L26" s="22">
        <v>75.900000000000006</v>
      </c>
      <c r="M26" s="22">
        <v>2</v>
      </c>
      <c r="N26" s="22">
        <v>2.1</v>
      </c>
      <c r="O26" s="25">
        <v>2.5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>
      <c r="A27" s="3"/>
      <c r="B27" s="3"/>
      <c r="C27" s="3"/>
      <c r="D27" s="3"/>
      <c r="E27" s="3"/>
      <c r="F27" s="28" t="s">
        <v>250</v>
      </c>
      <c r="G27" s="22">
        <v>19.600000000000001</v>
      </c>
      <c r="H27" s="22">
        <v>19.5</v>
      </c>
      <c r="I27" s="22">
        <v>21.5</v>
      </c>
      <c r="J27" s="22">
        <v>78.5</v>
      </c>
      <c r="K27" s="22">
        <v>78.8</v>
      </c>
      <c r="L27" s="22">
        <v>76.3</v>
      </c>
      <c r="M27" s="22">
        <v>1.9000000000000004</v>
      </c>
      <c r="N27" s="22">
        <v>1.7000000000000002</v>
      </c>
      <c r="O27" s="25">
        <v>2.2999999999999998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>
      <c r="A28" s="3"/>
      <c r="B28" s="3"/>
      <c r="C28" s="3"/>
      <c r="D28" s="3"/>
      <c r="E28" s="3"/>
      <c r="F28" s="28" t="s">
        <v>250</v>
      </c>
      <c r="G28" s="22">
        <v>19.600000000000001</v>
      </c>
      <c r="H28" s="22">
        <v>19.400000000000002</v>
      </c>
      <c r="I28" s="22">
        <v>19.900000000000002</v>
      </c>
      <c r="J28" s="22">
        <v>78.5</v>
      </c>
      <c r="K28" s="22">
        <v>78.900000000000006</v>
      </c>
      <c r="L28" s="22">
        <v>78.100000000000009</v>
      </c>
      <c r="M28" s="22">
        <v>2</v>
      </c>
      <c r="N28" s="22">
        <v>1.7000000000000002</v>
      </c>
      <c r="O28" s="25">
        <v>2.1</v>
      </c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>
      <c r="A29" s="3"/>
      <c r="B29" s="3"/>
      <c r="C29" s="3"/>
      <c r="D29" s="3"/>
      <c r="E29" s="3"/>
      <c r="F29" s="28" t="s">
        <v>250</v>
      </c>
      <c r="G29" s="22">
        <v>19.5</v>
      </c>
      <c r="H29" s="22">
        <v>19.3</v>
      </c>
      <c r="I29" s="22">
        <v>19.7</v>
      </c>
      <c r="J29" s="22">
        <v>78.8</v>
      </c>
      <c r="K29" s="22">
        <v>78.8</v>
      </c>
      <c r="L29" s="22">
        <v>78.2</v>
      </c>
      <c r="M29" s="22">
        <v>1.7000000000000002</v>
      </c>
      <c r="N29" s="22">
        <v>1.9</v>
      </c>
      <c r="O29" s="25">
        <v>2.1999999999999997</v>
      </c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>
      <c r="A30" s="3"/>
      <c r="B30" s="3"/>
      <c r="C30" s="3"/>
      <c r="D30" s="3"/>
      <c r="E30" s="3"/>
      <c r="F30" s="28" t="s">
        <v>251</v>
      </c>
      <c r="G30" s="22">
        <v>19.3</v>
      </c>
      <c r="H30" s="22">
        <v>19.3</v>
      </c>
      <c r="I30" s="22">
        <v>19.600000000000001</v>
      </c>
      <c r="J30" s="22">
        <v>78.7</v>
      </c>
      <c r="K30" s="22">
        <v>78.7</v>
      </c>
      <c r="L30" s="22">
        <v>78.400000000000006</v>
      </c>
      <c r="M30" s="22">
        <v>2</v>
      </c>
      <c r="N30" s="22">
        <v>1.9999999999999998</v>
      </c>
      <c r="O30" s="25">
        <v>2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>
      <c r="A31"/>
      <c r="B31"/>
      <c r="C31"/>
      <c r="D31"/>
      <c r="E31"/>
      <c r="F31" s="29" t="s">
        <v>251</v>
      </c>
      <c r="G31" s="23">
        <v>19.400000000000002</v>
      </c>
      <c r="H31" s="23">
        <v>19.3</v>
      </c>
      <c r="I31" s="23">
        <v>19.600000000000001</v>
      </c>
      <c r="J31" s="23">
        <v>78.8</v>
      </c>
      <c r="K31" s="23">
        <v>78.600000000000009</v>
      </c>
      <c r="L31" s="23">
        <v>78.3</v>
      </c>
      <c r="M31" s="23">
        <v>1.7000000000000002</v>
      </c>
      <c r="N31" s="23">
        <v>2</v>
      </c>
      <c r="O31" s="26">
        <v>2.1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/>
      <c r="B32"/>
      <c r="C32"/>
      <c r="D32"/>
      <c r="E32"/>
      <c r="F32" s="29" t="s">
        <v>251</v>
      </c>
      <c r="G32" s="23">
        <v>19.3</v>
      </c>
      <c r="H32" s="23">
        <v>19.2</v>
      </c>
      <c r="I32" s="23">
        <v>19.5</v>
      </c>
      <c r="J32" s="23">
        <v>78.900000000000006</v>
      </c>
      <c r="K32" s="23">
        <v>78.600000000000009</v>
      </c>
      <c r="L32" s="23">
        <v>78.3</v>
      </c>
      <c r="M32" s="23">
        <v>1.7000000000000002</v>
      </c>
      <c r="N32" s="23">
        <v>2.2000000000000002</v>
      </c>
      <c r="O32" s="26">
        <v>2.2999999999999998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/>
      <c r="B33"/>
      <c r="C33"/>
      <c r="D33"/>
      <c r="E33"/>
      <c r="F33" s="29" t="s">
        <v>251</v>
      </c>
      <c r="G33" s="23">
        <v>19.3</v>
      </c>
      <c r="H33" s="23">
        <v>19.2</v>
      </c>
      <c r="I33" s="23">
        <v>19.3</v>
      </c>
      <c r="J33" s="23">
        <v>78.900000000000006</v>
      </c>
      <c r="K33" s="23">
        <v>78.900000000000006</v>
      </c>
      <c r="L33" s="23">
        <v>78.3</v>
      </c>
      <c r="M33" s="23">
        <v>1.7000000000000002</v>
      </c>
      <c r="N33" s="23">
        <v>1.9</v>
      </c>
      <c r="O33" s="26">
        <v>2.4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/>
      <c r="B34"/>
      <c r="C34"/>
      <c r="D34"/>
      <c r="E34"/>
      <c r="F34" s="29" t="s">
        <v>252</v>
      </c>
      <c r="G34" s="23">
        <v>17.299999999999997</v>
      </c>
      <c r="H34" s="23">
        <v>19.100000000000001</v>
      </c>
      <c r="I34" s="23">
        <v>19</v>
      </c>
      <c r="J34" s="23">
        <v>80.900000000000006</v>
      </c>
      <c r="K34" s="23">
        <v>79</v>
      </c>
      <c r="L34" s="23">
        <v>78.900000000000006</v>
      </c>
      <c r="M34" s="23">
        <v>1.7999999999999998</v>
      </c>
      <c r="N34" s="23">
        <v>1.7999999999999998</v>
      </c>
      <c r="O34" s="26">
        <v>2.1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/>
      <c r="B35"/>
      <c r="C35"/>
      <c r="D35"/>
      <c r="E35"/>
      <c r="F35" s="29" t="s">
        <v>252</v>
      </c>
      <c r="G35" s="23" t="s">
        <v>80</v>
      </c>
      <c r="H35" s="23" t="s">
        <v>80</v>
      </c>
      <c r="I35" s="23" t="s">
        <v>80</v>
      </c>
      <c r="J35" s="23">
        <v>78.900000000000006</v>
      </c>
      <c r="K35" s="23">
        <v>78.8</v>
      </c>
      <c r="L35" s="23">
        <v>78.5</v>
      </c>
      <c r="M35" s="23">
        <v>2.0999999999999996</v>
      </c>
      <c r="N35" s="23">
        <v>2.1</v>
      </c>
      <c r="O35" s="26">
        <v>2.1999999999999997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/>
      <c r="B36"/>
      <c r="C36"/>
      <c r="D36"/>
      <c r="E36"/>
      <c r="F36" s="29" t="s">
        <v>252</v>
      </c>
      <c r="G36" s="23">
        <v>18.600000000000001</v>
      </c>
      <c r="H36" s="23">
        <v>19.100000000000001</v>
      </c>
      <c r="I36" s="23">
        <v>19.100000000000001</v>
      </c>
      <c r="J36" s="23">
        <v>79.400000000000006</v>
      </c>
      <c r="K36" s="23">
        <v>78.600000000000009</v>
      </c>
      <c r="L36" s="23">
        <v>78.7</v>
      </c>
      <c r="M36" s="23">
        <v>2</v>
      </c>
      <c r="N36" s="23">
        <v>2.2000000000000002</v>
      </c>
      <c r="O36" s="26">
        <v>2.1999999999999997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/>
      <c r="B37"/>
      <c r="C37"/>
      <c r="D37"/>
      <c r="E37"/>
      <c r="F37" s="29" t="s">
        <v>252</v>
      </c>
      <c r="G37" s="23">
        <v>17.2</v>
      </c>
      <c r="H37" s="23">
        <v>19</v>
      </c>
      <c r="I37" s="23">
        <v>17.599999999999998</v>
      </c>
      <c r="J37" s="23">
        <v>81.3</v>
      </c>
      <c r="K37" s="23">
        <v>79.100000000000009</v>
      </c>
      <c r="L37" s="23">
        <v>80.600000000000009</v>
      </c>
      <c r="M37" s="23">
        <v>1.4000000000000001</v>
      </c>
      <c r="N37" s="23">
        <v>1.9000000000000004</v>
      </c>
      <c r="O37" s="26">
        <v>1.7999999999999998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/>
      <c r="B38"/>
      <c r="C38"/>
      <c r="D38"/>
      <c r="E38"/>
      <c r="F38" s="29" t="s">
        <v>245</v>
      </c>
      <c r="G38" s="23">
        <v>21.099999999999998</v>
      </c>
      <c r="H38" s="23">
        <v>21.6</v>
      </c>
      <c r="I38" s="23">
        <v>22</v>
      </c>
      <c r="J38" s="23">
        <v>76.900000000000006</v>
      </c>
      <c r="K38" s="23">
        <v>76.3</v>
      </c>
      <c r="L38" s="23">
        <v>76</v>
      </c>
      <c r="M38" s="23">
        <v>1.9</v>
      </c>
      <c r="N38" s="23">
        <v>2.1</v>
      </c>
      <c r="O38" s="26">
        <v>2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/>
      <c r="B39"/>
      <c r="C39"/>
      <c r="D39"/>
      <c r="E39"/>
      <c r="F39" s="29" t="s">
        <v>245</v>
      </c>
      <c r="G39" s="23" t="s">
        <v>80</v>
      </c>
      <c r="H39" s="23">
        <v>19.8</v>
      </c>
      <c r="I39" s="23">
        <v>21.8</v>
      </c>
      <c r="J39" s="23" t="s">
        <v>80</v>
      </c>
      <c r="K39" s="23">
        <v>78.5</v>
      </c>
      <c r="L39" s="23">
        <v>76.3</v>
      </c>
      <c r="M39" s="23" t="s">
        <v>80</v>
      </c>
      <c r="N39" s="23">
        <v>1.7000000000000002</v>
      </c>
      <c r="O39" s="26">
        <v>2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/>
      <c r="B40"/>
      <c r="C40"/>
      <c r="D40"/>
      <c r="E40"/>
      <c r="F40" s="29" t="s">
        <v>245</v>
      </c>
      <c r="G40" s="23">
        <v>20.100000000000001</v>
      </c>
      <c r="H40" s="23">
        <v>21.4</v>
      </c>
      <c r="I40" s="23">
        <v>21.9</v>
      </c>
      <c r="J40" s="23">
        <v>77.8</v>
      </c>
      <c r="K40" s="23">
        <v>76.599999999999994</v>
      </c>
      <c r="L40" s="23">
        <v>75.8</v>
      </c>
      <c r="M40" s="23">
        <v>2.1</v>
      </c>
      <c r="N40" s="23">
        <v>1.9</v>
      </c>
      <c r="O40" s="26">
        <v>2.2999999999999998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/>
      <c r="B41"/>
      <c r="C41"/>
      <c r="D41"/>
      <c r="E41"/>
      <c r="F41" s="29" t="s">
        <v>245</v>
      </c>
      <c r="G41" s="23">
        <v>20.5</v>
      </c>
      <c r="H41" s="23">
        <v>19.8</v>
      </c>
      <c r="I41" s="23">
        <v>21.6</v>
      </c>
      <c r="J41" s="23">
        <v>77.900000000000006</v>
      </c>
      <c r="K41" s="23">
        <v>78.5</v>
      </c>
      <c r="L41" s="23">
        <v>76.5</v>
      </c>
      <c r="M41" s="23">
        <v>1.6</v>
      </c>
      <c r="N41" s="23">
        <v>1.6</v>
      </c>
      <c r="O41" s="26">
        <v>1.9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/>
      <c r="B42"/>
      <c r="C42"/>
      <c r="D42"/>
      <c r="E42"/>
      <c r="F42" s="29" t="s">
        <v>246</v>
      </c>
      <c r="G42" s="23">
        <v>20.399999999999999</v>
      </c>
      <c r="H42" s="23">
        <v>20.599999999999998</v>
      </c>
      <c r="I42" s="23">
        <v>20.200000000000003</v>
      </c>
      <c r="J42" s="23">
        <v>77.5</v>
      </c>
      <c r="K42" s="23">
        <v>77.5</v>
      </c>
      <c r="L42" s="23">
        <v>77.7</v>
      </c>
      <c r="M42" s="23">
        <v>2.1999999999999997</v>
      </c>
      <c r="N42" s="23">
        <v>1.9</v>
      </c>
      <c r="O42" s="26">
        <v>2.1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/>
      <c r="B43"/>
      <c r="C43"/>
      <c r="D43"/>
      <c r="E43"/>
      <c r="F43" s="29" t="s">
        <v>246</v>
      </c>
      <c r="G43" s="23">
        <v>20.599999999999998</v>
      </c>
      <c r="H43" s="23">
        <v>20.900000000000002</v>
      </c>
      <c r="I43" s="23">
        <v>20.399999999999999</v>
      </c>
      <c r="J43" s="23">
        <v>77.2</v>
      </c>
      <c r="K43" s="23">
        <v>76.8</v>
      </c>
      <c r="L43" s="23">
        <v>77.5</v>
      </c>
      <c r="M43" s="23">
        <v>2.1999999999999997</v>
      </c>
      <c r="N43" s="23">
        <v>2.2999999999999998</v>
      </c>
      <c r="O43" s="26">
        <v>2.1999999999999997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/>
      <c r="B44"/>
      <c r="C44"/>
      <c r="D44"/>
      <c r="E44"/>
      <c r="F44" s="29" t="s">
        <v>246</v>
      </c>
      <c r="G44" s="23" t="s">
        <v>80</v>
      </c>
      <c r="H44" s="23" t="s">
        <v>80</v>
      </c>
      <c r="I44" s="23">
        <v>20.100000000000001</v>
      </c>
      <c r="J44" s="23" t="s">
        <v>80</v>
      </c>
      <c r="K44" s="23" t="s">
        <v>80</v>
      </c>
      <c r="L44" s="23">
        <v>78.100000000000009</v>
      </c>
      <c r="M44" s="23" t="s">
        <v>80</v>
      </c>
      <c r="N44" s="23" t="s">
        <v>80</v>
      </c>
      <c r="O44" s="26">
        <v>1.7999999999999998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/>
      <c r="B45"/>
      <c r="C45"/>
      <c r="D45"/>
      <c r="E45"/>
      <c r="F45" s="29" t="s">
        <v>246</v>
      </c>
      <c r="G45" s="23">
        <v>20.399999999999999</v>
      </c>
      <c r="H45" s="23">
        <v>20.5</v>
      </c>
      <c r="I45" s="23" t="s">
        <v>80</v>
      </c>
      <c r="J45" s="23">
        <v>77.3</v>
      </c>
      <c r="K45" s="23">
        <v>77.400000000000006</v>
      </c>
      <c r="L45" s="23" t="s">
        <v>80</v>
      </c>
      <c r="M45" s="23">
        <v>2.2999999999999998</v>
      </c>
      <c r="N45" s="23">
        <v>2.1</v>
      </c>
      <c r="O45" s="26" t="s">
        <v>80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/>
      <c r="B46"/>
      <c r="C46"/>
      <c r="D46"/>
      <c r="E46"/>
      <c r="F46" s="29" t="s">
        <v>247</v>
      </c>
      <c r="G46" s="23">
        <v>20.200000000000003</v>
      </c>
      <c r="H46" s="23">
        <v>20.400000000000002</v>
      </c>
      <c r="I46" s="23">
        <v>19.8</v>
      </c>
      <c r="J46" s="23">
        <v>78.100000000000009</v>
      </c>
      <c r="K46" s="23">
        <v>77.600000000000009</v>
      </c>
      <c r="L46" s="23">
        <v>78</v>
      </c>
      <c r="M46" s="23">
        <v>1.7999999999999998</v>
      </c>
      <c r="N46" s="23">
        <v>2</v>
      </c>
      <c r="O46" s="26">
        <v>2.1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/>
      <c r="B47"/>
      <c r="C47"/>
      <c r="D47"/>
      <c r="E47"/>
      <c r="F47" s="29" t="s">
        <v>247</v>
      </c>
      <c r="G47" s="23">
        <v>20.100000000000001</v>
      </c>
      <c r="H47" s="23">
        <v>20.100000000000001</v>
      </c>
      <c r="I47" s="23">
        <v>19.600000000000001</v>
      </c>
      <c r="J47" s="23">
        <v>77.8</v>
      </c>
      <c r="K47" s="23">
        <v>77.7</v>
      </c>
      <c r="L47" s="23">
        <v>78.5</v>
      </c>
      <c r="M47" s="23">
        <v>2.1</v>
      </c>
      <c r="N47" s="23">
        <v>2.2000000000000002</v>
      </c>
      <c r="O47" s="26">
        <v>1.9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/>
      <c r="B48"/>
      <c r="C48"/>
      <c r="D48"/>
      <c r="E48"/>
      <c r="F48" s="29" t="s">
        <v>247</v>
      </c>
      <c r="G48" s="23">
        <v>20.200000000000003</v>
      </c>
      <c r="H48" s="23">
        <v>20.200000000000003</v>
      </c>
      <c r="I48" s="23" t="s">
        <v>80</v>
      </c>
      <c r="J48" s="23">
        <v>77.5</v>
      </c>
      <c r="K48" s="23">
        <v>77.8</v>
      </c>
      <c r="L48" s="23" t="s">
        <v>80</v>
      </c>
      <c r="M48" s="23">
        <v>2.2999999999999998</v>
      </c>
      <c r="N48" s="23">
        <v>2</v>
      </c>
      <c r="O48" s="26" t="s">
        <v>80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/>
      <c r="B49"/>
      <c r="C49"/>
      <c r="D49"/>
      <c r="E49"/>
      <c r="F49" s="29" t="s">
        <v>247</v>
      </c>
      <c r="G49" s="23">
        <v>20</v>
      </c>
      <c r="H49" s="23">
        <v>20.099999999999998</v>
      </c>
      <c r="I49" s="23">
        <v>19.600000000000001</v>
      </c>
      <c r="J49" s="23">
        <v>77.900000000000006</v>
      </c>
      <c r="K49" s="23">
        <v>78.2</v>
      </c>
      <c r="L49" s="23">
        <v>78.2</v>
      </c>
      <c r="M49" s="23">
        <v>2.1</v>
      </c>
      <c r="N49" s="23">
        <v>1.7000000000000002</v>
      </c>
      <c r="O49" s="26">
        <v>2.2000000000000002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/>
      <c r="B50"/>
      <c r="C50"/>
      <c r="D50"/>
      <c r="E50"/>
      <c r="F50" s="29" t="s">
        <v>248</v>
      </c>
      <c r="G50" s="23">
        <v>19.3</v>
      </c>
      <c r="H50" s="23">
        <v>19.8</v>
      </c>
      <c r="I50" s="23">
        <v>19.400000000000002</v>
      </c>
      <c r="J50" s="23">
        <v>79.100000000000009</v>
      </c>
      <c r="K50" s="23">
        <v>78.400000000000006</v>
      </c>
      <c r="L50" s="23">
        <v>78.5</v>
      </c>
      <c r="M50" s="23">
        <v>1.7000000000000002</v>
      </c>
      <c r="N50" s="23">
        <v>1.8000000000000003</v>
      </c>
      <c r="O50" s="26">
        <v>2.1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/>
      <c r="B51"/>
      <c r="C51"/>
      <c r="D51"/>
      <c r="E51"/>
      <c r="F51" s="29" t="s">
        <v>248</v>
      </c>
      <c r="G51" s="23">
        <v>20</v>
      </c>
      <c r="H51" s="23">
        <v>19.900000000000002</v>
      </c>
      <c r="I51" s="23">
        <v>19.5</v>
      </c>
      <c r="J51" s="23">
        <v>77.8</v>
      </c>
      <c r="K51" s="23">
        <v>78.3</v>
      </c>
      <c r="L51" s="23">
        <v>78.5</v>
      </c>
      <c r="M51" s="23">
        <v>2.1999999999999997</v>
      </c>
      <c r="N51" s="23">
        <v>1.7999999999999998</v>
      </c>
      <c r="O51" s="26">
        <v>1.9999999999999998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/>
      <c r="B52"/>
      <c r="C52"/>
      <c r="D52"/>
      <c r="E52"/>
      <c r="F52" s="29" t="s">
        <v>248</v>
      </c>
      <c r="G52" s="23">
        <v>19.3</v>
      </c>
      <c r="H52" s="23">
        <v>17.7</v>
      </c>
      <c r="I52" s="23">
        <v>19.400000000000002</v>
      </c>
      <c r="J52" s="23">
        <v>78.5</v>
      </c>
      <c r="K52" s="23">
        <v>80.5</v>
      </c>
      <c r="L52" s="23">
        <v>78.400000000000006</v>
      </c>
      <c r="M52" s="23">
        <v>2.1</v>
      </c>
      <c r="N52" s="23">
        <v>1.7999999999999998</v>
      </c>
      <c r="O52" s="26">
        <v>2.2000000000000002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4.4" thickBot="1">
      <c r="A53"/>
      <c r="B53"/>
      <c r="C53"/>
      <c r="D53"/>
      <c r="E53"/>
      <c r="F53" s="31" t="s">
        <v>248</v>
      </c>
      <c r="G53" s="24">
        <v>19.400000000000002</v>
      </c>
      <c r="H53" s="24">
        <v>19.8</v>
      </c>
      <c r="I53" s="24">
        <v>19.499999999999996</v>
      </c>
      <c r="J53" s="24">
        <v>78.600000000000009</v>
      </c>
      <c r="K53" s="24">
        <v>78.2</v>
      </c>
      <c r="L53" s="24">
        <v>78.8</v>
      </c>
      <c r="M53" s="24">
        <v>2</v>
      </c>
      <c r="N53" s="24">
        <v>1.9</v>
      </c>
      <c r="O53" s="27">
        <v>1.7000000000000002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6.2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6.2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6.2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6.2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6.2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6.2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16</xdr:col>
                <xdr:colOff>251460</xdr:colOff>
                <xdr:row>4</xdr:row>
                <xdr:rowOff>45720</xdr:rowOff>
              </from>
              <to>
                <xdr:col>18</xdr:col>
                <xdr:colOff>335280</xdr:colOff>
                <xdr:row>8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F647-CB0A-4947-AD1C-A924944D5E98}">
  <sheetPr codeName="Sheet16"/>
  <dimension ref="A2:J14"/>
  <sheetViews>
    <sheetView tabSelected="1" workbookViewId="0">
      <selection activeCell="A2" sqref="A2:J14"/>
    </sheetView>
  </sheetViews>
  <sheetFormatPr defaultRowHeight="13.8"/>
  <cols>
    <col min="1" max="1" width="8.88671875" style="3"/>
    <col min="2" max="7" width="10.88671875" bestFit="1" customWidth="1"/>
    <col min="8" max="10" width="9.77734375" bestFit="1" customWidth="1"/>
  </cols>
  <sheetData>
    <row r="2" spans="1:10" s="3" customFormat="1">
      <c r="A2" s="20"/>
      <c r="B2" s="18" t="s">
        <v>257</v>
      </c>
      <c r="C2" s="19" t="s">
        <v>258</v>
      </c>
      <c r="D2" s="19" t="s">
        <v>259</v>
      </c>
      <c r="E2" s="19" t="s">
        <v>260</v>
      </c>
      <c r="F2" s="19" t="s">
        <v>261</v>
      </c>
      <c r="G2" s="19" t="s">
        <v>262</v>
      </c>
      <c r="H2" s="19" t="s">
        <v>263</v>
      </c>
      <c r="I2" s="19" t="s">
        <v>264</v>
      </c>
      <c r="J2" s="19" t="s">
        <v>265</v>
      </c>
    </row>
    <row r="3" spans="1:10">
      <c r="A3" s="18" t="s">
        <v>253</v>
      </c>
      <c r="B3" s="17" t="s">
        <v>92</v>
      </c>
      <c r="C3" s="17" t="s">
        <v>95</v>
      </c>
      <c r="D3" s="17" t="s">
        <v>98</v>
      </c>
      <c r="E3" s="17" t="s">
        <v>93</v>
      </c>
      <c r="F3" s="17" t="s">
        <v>96</v>
      </c>
      <c r="G3" s="17" t="s">
        <v>99</v>
      </c>
      <c r="H3" s="17" t="s">
        <v>94</v>
      </c>
      <c r="I3" s="17" t="s">
        <v>97</v>
      </c>
      <c r="J3" s="17" t="s">
        <v>100</v>
      </c>
    </row>
    <row r="4" spans="1:10">
      <c r="A4" s="19" t="s">
        <v>254</v>
      </c>
      <c r="B4" s="17" t="s">
        <v>151</v>
      </c>
      <c r="C4" s="17" t="s">
        <v>177</v>
      </c>
      <c r="D4" s="17" t="s">
        <v>202</v>
      </c>
      <c r="E4" s="17" t="s">
        <v>152</v>
      </c>
      <c r="F4" s="17" t="s">
        <v>178</v>
      </c>
      <c r="G4" s="17" t="s">
        <v>203</v>
      </c>
      <c r="H4" s="17" t="s">
        <v>153</v>
      </c>
      <c r="I4" s="17" t="s">
        <v>179</v>
      </c>
      <c r="J4" s="17" t="s">
        <v>204</v>
      </c>
    </row>
    <row r="5" spans="1:10">
      <c r="A5" s="19" t="s">
        <v>255</v>
      </c>
      <c r="B5" s="17" t="s">
        <v>154</v>
      </c>
      <c r="C5" s="17" t="s">
        <v>180</v>
      </c>
      <c r="D5" s="17" t="s">
        <v>205</v>
      </c>
      <c r="E5" s="17" t="s">
        <v>155</v>
      </c>
      <c r="F5" s="17" t="s">
        <v>181</v>
      </c>
      <c r="G5" s="17" t="s">
        <v>206</v>
      </c>
      <c r="H5" s="17" t="s">
        <v>156</v>
      </c>
      <c r="I5" s="17" t="s">
        <v>182</v>
      </c>
      <c r="J5" s="17" t="s">
        <v>207</v>
      </c>
    </row>
    <row r="6" spans="1:10">
      <c r="A6" s="19" t="s">
        <v>256</v>
      </c>
      <c r="B6" s="17" t="s">
        <v>240</v>
      </c>
      <c r="C6" s="17" t="s">
        <v>183</v>
      </c>
      <c r="D6" s="17" t="s">
        <v>241</v>
      </c>
      <c r="E6" s="17" t="s">
        <v>157</v>
      </c>
      <c r="F6" s="17" t="s">
        <v>184</v>
      </c>
      <c r="G6" s="17" t="s">
        <v>208</v>
      </c>
      <c r="H6" s="17" t="s">
        <v>145</v>
      </c>
      <c r="I6" s="17" t="s">
        <v>185</v>
      </c>
      <c r="J6" s="17" t="s">
        <v>209</v>
      </c>
    </row>
    <row r="7" spans="1:10">
      <c r="A7" s="19" t="s">
        <v>249</v>
      </c>
      <c r="B7" s="17" t="s">
        <v>92</v>
      </c>
      <c r="C7" s="17" t="s">
        <v>95</v>
      </c>
      <c r="D7" s="17" t="s">
        <v>98</v>
      </c>
      <c r="E7" s="17" t="s">
        <v>93</v>
      </c>
      <c r="F7" s="17" t="s">
        <v>96</v>
      </c>
      <c r="G7" s="17" t="s">
        <v>99</v>
      </c>
      <c r="H7" s="17" t="s">
        <v>94</v>
      </c>
      <c r="I7" s="17" t="s">
        <v>97</v>
      </c>
      <c r="J7" s="17" t="s">
        <v>100</v>
      </c>
    </row>
    <row r="8" spans="1:10">
      <c r="A8" s="19" t="s">
        <v>250</v>
      </c>
      <c r="B8" s="17" t="s">
        <v>143</v>
      </c>
      <c r="C8" s="17" t="s">
        <v>169</v>
      </c>
      <c r="D8" s="17" t="s">
        <v>194</v>
      </c>
      <c r="E8" s="17" t="s">
        <v>144</v>
      </c>
      <c r="F8" s="17" t="s">
        <v>170</v>
      </c>
      <c r="G8" s="17" t="s">
        <v>195</v>
      </c>
      <c r="H8" s="17" t="s">
        <v>145</v>
      </c>
      <c r="I8" s="17" t="s">
        <v>171</v>
      </c>
      <c r="J8" s="17" t="s">
        <v>196</v>
      </c>
    </row>
    <row r="9" spans="1:10">
      <c r="A9" s="19" t="s">
        <v>251</v>
      </c>
      <c r="B9" s="17" t="s">
        <v>146</v>
      </c>
      <c r="C9" s="17" t="s">
        <v>172</v>
      </c>
      <c r="D9" s="17" t="s">
        <v>197</v>
      </c>
      <c r="E9" s="17" t="s">
        <v>147</v>
      </c>
      <c r="F9" s="17" t="s">
        <v>173</v>
      </c>
      <c r="G9" s="17" t="s">
        <v>198</v>
      </c>
      <c r="H9" s="17" t="s">
        <v>148</v>
      </c>
      <c r="I9" s="17" t="s">
        <v>174</v>
      </c>
      <c r="J9" s="17" t="s">
        <v>199</v>
      </c>
    </row>
    <row r="10" spans="1:10">
      <c r="A10" s="19" t="s">
        <v>252</v>
      </c>
      <c r="B10" s="17" t="s">
        <v>242</v>
      </c>
      <c r="C10" s="17" t="s">
        <v>243</v>
      </c>
      <c r="D10" s="17" t="s">
        <v>244</v>
      </c>
      <c r="E10" s="17" t="s">
        <v>149</v>
      </c>
      <c r="F10" s="17" t="s">
        <v>175</v>
      </c>
      <c r="G10" s="17" t="s">
        <v>200</v>
      </c>
      <c r="H10" s="17" t="s">
        <v>150</v>
      </c>
      <c r="I10" s="17" t="s">
        <v>176</v>
      </c>
      <c r="J10" s="17" t="s">
        <v>201</v>
      </c>
    </row>
    <row r="11" spans="1:10">
      <c r="A11" s="19" t="s">
        <v>245</v>
      </c>
      <c r="B11" s="17" t="s">
        <v>92</v>
      </c>
      <c r="C11" s="17" t="s">
        <v>95</v>
      </c>
      <c r="D11" s="17" t="s">
        <v>98</v>
      </c>
      <c r="E11" s="17" t="s">
        <v>93</v>
      </c>
      <c r="F11" s="17" t="s">
        <v>96</v>
      </c>
      <c r="G11" s="17" t="s">
        <v>99</v>
      </c>
      <c r="H11" s="17" t="s">
        <v>94</v>
      </c>
      <c r="I11" s="17" t="s">
        <v>97</v>
      </c>
      <c r="J11" s="17" t="s">
        <v>100</v>
      </c>
    </row>
    <row r="12" spans="1:10">
      <c r="A12" s="19" t="s">
        <v>246</v>
      </c>
      <c r="B12" s="17" t="s">
        <v>101</v>
      </c>
      <c r="C12" s="17" t="s">
        <v>110</v>
      </c>
      <c r="D12" s="17" t="s">
        <v>119</v>
      </c>
      <c r="E12" s="17" t="s">
        <v>102</v>
      </c>
      <c r="F12" s="17" t="s">
        <v>111</v>
      </c>
      <c r="G12" s="17" t="s">
        <v>120</v>
      </c>
      <c r="H12" s="17" t="s">
        <v>103</v>
      </c>
      <c r="I12" s="17" t="s">
        <v>112</v>
      </c>
      <c r="J12" s="17" t="s">
        <v>121</v>
      </c>
    </row>
    <row r="13" spans="1:10">
      <c r="A13" s="19" t="s">
        <v>247</v>
      </c>
      <c r="B13" s="17" t="s">
        <v>104</v>
      </c>
      <c r="C13" s="17" t="s">
        <v>113</v>
      </c>
      <c r="D13" s="17" t="s">
        <v>122</v>
      </c>
      <c r="E13" s="17" t="s">
        <v>105</v>
      </c>
      <c r="F13" s="17" t="s">
        <v>114</v>
      </c>
      <c r="G13" s="17" t="s">
        <v>123</v>
      </c>
      <c r="H13" s="17" t="s">
        <v>106</v>
      </c>
      <c r="I13" s="17" t="s">
        <v>115</v>
      </c>
      <c r="J13" s="17" t="s">
        <v>124</v>
      </c>
    </row>
    <row r="14" spans="1:10">
      <c r="A14" s="19" t="s">
        <v>248</v>
      </c>
      <c r="B14" s="17" t="s">
        <v>107</v>
      </c>
      <c r="C14" s="17" t="s">
        <v>116</v>
      </c>
      <c r="D14" s="17" t="s">
        <v>125</v>
      </c>
      <c r="E14" s="17" t="s">
        <v>108</v>
      </c>
      <c r="F14" s="17" t="s">
        <v>117</v>
      </c>
      <c r="G14" s="17" t="s">
        <v>126</v>
      </c>
      <c r="H14" s="17" t="s">
        <v>109</v>
      </c>
      <c r="I14" s="17" t="s">
        <v>118</v>
      </c>
      <c r="J14" s="17" t="s">
        <v>109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E26DF-ECC6-412E-A7B8-25F47E636E1E}">
  <sheetPr codeName="Sheet15"/>
  <dimension ref="A2:S14"/>
  <sheetViews>
    <sheetView workbookViewId="0">
      <selection activeCell="U14" sqref="U14"/>
    </sheetView>
  </sheetViews>
  <sheetFormatPr defaultRowHeight="13.8"/>
  <cols>
    <col min="1" max="1" width="12.6640625" style="3" customWidth="1"/>
    <col min="2" max="2" width="6.6640625" bestFit="1" customWidth="1"/>
    <col min="3" max="3" width="5.6640625" bestFit="1" customWidth="1"/>
    <col min="4" max="4" width="6.6640625" bestFit="1" customWidth="1"/>
    <col min="5" max="5" width="5.6640625" bestFit="1" customWidth="1"/>
    <col min="6" max="6" width="6.6640625" bestFit="1" customWidth="1"/>
    <col min="7" max="7" width="5.6640625" bestFit="1" customWidth="1"/>
    <col min="8" max="8" width="6.6640625" bestFit="1" customWidth="1"/>
    <col min="9" max="9" width="5.6640625" bestFit="1" customWidth="1"/>
    <col min="10" max="10" width="6.6640625" bestFit="1" customWidth="1"/>
    <col min="11" max="11" width="5.6640625" bestFit="1" customWidth="1"/>
    <col min="12" max="12" width="6.6640625" bestFit="1" customWidth="1"/>
    <col min="13" max="19" width="5.6640625" bestFit="1" customWidth="1"/>
  </cols>
  <sheetData>
    <row r="2" spans="1:19" s="3" customFormat="1">
      <c r="A2" s="20"/>
      <c r="B2" s="18" t="s">
        <v>257</v>
      </c>
      <c r="C2" s="19" t="s">
        <v>80</v>
      </c>
      <c r="D2" s="19" t="s">
        <v>258</v>
      </c>
      <c r="E2" s="19" t="s">
        <v>80</v>
      </c>
      <c r="F2" s="19" t="s">
        <v>259</v>
      </c>
      <c r="G2" s="19" t="s">
        <v>80</v>
      </c>
      <c r="H2" s="19" t="s">
        <v>260</v>
      </c>
      <c r="I2" s="19" t="s">
        <v>80</v>
      </c>
      <c r="J2" s="19" t="s">
        <v>261</v>
      </c>
      <c r="K2" s="19" t="s">
        <v>80</v>
      </c>
      <c r="L2" s="19" t="s">
        <v>262</v>
      </c>
      <c r="M2" s="19" t="s">
        <v>80</v>
      </c>
      <c r="N2" s="19" t="s">
        <v>263</v>
      </c>
      <c r="O2" s="19" t="s">
        <v>80</v>
      </c>
      <c r="P2" s="19" t="s">
        <v>264</v>
      </c>
      <c r="Q2" s="19" t="s">
        <v>80</v>
      </c>
      <c r="R2" s="19" t="s">
        <v>265</v>
      </c>
      <c r="S2" s="19" t="s">
        <v>80</v>
      </c>
    </row>
    <row r="3" spans="1:19">
      <c r="A3" s="18" t="s">
        <v>253</v>
      </c>
      <c r="B3" s="21">
        <v>20.57</v>
      </c>
      <c r="C3" s="21">
        <v>0.5</v>
      </c>
      <c r="D3" s="21">
        <v>20.65</v>
      </c>
      <c r="E3" s="21">
        <v>0.98</v>
      </c>
      <c r="F3" s="21">
        <v>21.83</v>
      </c>
      <c r="G3" s="21">
        <v>0.17</v>
      </c>
      <c r="H3" s="21">
        <v>77.53</v>
      </c>
      <c r="I3" s="21">
        <v>0.55000000000000004</v>
      </c>
      <c r="J3" s="21">
        <v>77.48</v>
      </c>
      <c r="K3" s="21">
        <v>1.19</v>
      </c>
      <c r="L3" s="21">
        <v>76.150000000000006</v>
      </c>
      <c r="M3" s="21">
        <v>0.31</v>
      </c>
      <c r="N3" s="21">
        <v>1.87</v>
      </c>
      <c r="O3" s="21">
        <v>0.25</v>
      </c>
      <c r="P3" s="21">
        <v>1.83</v>
      </c>
      <c r="Q3" s="21">
        <v>0.22</v>
      </c>
      <c r="R3" s="21">
        <v>2.0499999999999998</v>
      </c>
      <c r="S3" s="21">
        <v>0.17</v>
      </c>
    </row>
    <row r="4" spans="1:19">
      <c r="A4" s="19" t="s">
        <v>254</v>
      </c>
      <c r="B4" s="21">
        <v>19.3</v>
      </c>
      <c r="C4" s="21">
        <v>0</v>
      </c>
      <c r="D4" s="21">
        <v>19.45</v>
      </c>
      <c r="E4" s="21">
        <v>0.1</v>
      </c>
      <c r="F4" s="21">
        <v>19.53</v>
      </c>
      <c r="G4" s="21">
        <v>0.05</v>
      </c>
      <c r="H4" s="21">
        <v>78.599999999999994</v>
      </c>
      <c r="I4" s="21">
        <v>0.1</v>
      </c>
      <c r="J4" s="21">
        <v>78.650000000000006</v>
      </c>
      <c r="K4" s="21">
        <v>0.13</v>
      </c>
      <c r="L4" s="21">
        <v>78.48</v>
      </c>
      <c r="M4" s="21">
        <v>0.17</v>
      </c>
      <c r="N4" s="21">
        <v>2.1</v>
      </c>
      <c r="O4" s="21">
        <v>0</v>
      </c>
      <c r="P4" s="21">
        <v>1.88</v>
      </c>
      <c r="Q4" s="21">
        <v>0.15</v>
      </c>
      <c r="R4" s="21">
        <v>2</v>
      </c>
      <c r="S4" s="21">
        <v>0.14000000000000001</v>
      </c>
    </row>
    <row r="5" spans="1:19">
      <c r="A5" s="19" t="s">
        <v>255</v>
      </c>
      <c r="B5" s="21">
        <v>19.100000000000001</v>
      </c>
      <c r="C5" s="21">
        <v>0.12</v>
      </c>
      <c r="D5" s="21">
        <v>19.13</v>
      </c>
      <c r="E5" s="21">
        <v>0.05</v>
      </c>
      <c r="F5" s="21">
        <v>18.829999999999998</v>
      </c>
      <c r="G5" s="21">
        <v>1.02</v>
      </c>
      <c r="H5" s="21">
        <v>78.900000000000006</v>
      </c>
      <c r="I5" s="21">
        <v>0.08</v>
      </c>
      <c r="J5" s="21">
        <v>78.88</v>
      </c>
      <c r="K5" s="21">
        <v>0.1</v>
      </c>
      <c r="L5" s="21">
        <v>79.2</v>
      </c>
      <c r="M5" s="21">
        <v>0.99</v>
      </c>
      <c r="N5" s="21">
        <v>1.95</v>
      </c>
      <c r="O5" s="21">
        <v>0.06</v>
      </c>
      <c r="P5" s="21">
        <v>1.98</v>
      </c>
      <c r="Q5" s="21">
        <v>0.1</v>
      </c>
      <c r="R5" s="21">
        <v>2</v>
      </c>
      <c r="S5" s="21">
        <v>0.27</v>
      </c>
    </row>
    <row r="6" spans="1:19">
      <c r="A6" s="19" t="s">
        <v>256</v>
      </c>
      <c r="B6" s="21">
        <v>17.07</v>
      </c>
      <c r="C6" s="21">
        <v>0.06</v>
      </c>
      <c r="D6" s="21">
        <v>17.13</v>
      </c>
      <c r="E6" s="21">
        <v>0.31</v>
      </c>
      <c r="F6" s="21">
        <v>18.149999999999999</v>
      </c>
      <c r="G6" s="21">
        <v>7.0000000000000007E-2</v>
      </c>
      <c r="H6" s="21">
        <v>80.58</v>
      </c>
      <c r="I6" s="21">
        <v>1.1200000000000001</v>
      </c>
      <c r="J6" s="21">
        <v>80.87</v>
      </c>
      <c r="K6" s="21">
        <v>0.31</v>
      </c>
      <c r="L6" s="21">
        <v>80.27</v>
      </c>
      <c r="M6" s="21">
        <v>0.64</v>
      </c>
      <c r="N6" s="21">
        <v>1.9</v>
      </c>
      <c r="O6" s="21">
        <v>0.14000000000000001</v>
      </c>
      <c r="P6" s="21">
        <v>2</v>
      </c>
      <c r="Q6" s="21">
        <v>0</v>
      </c>
      <c r="R6" s="21">
        <v>1.83</v>
      </c>
      <c r="S6" s="21">
        <v>0.15</v>
      </c>
    </row>
    <row r="7" spans="1:19">
      <c r="A7" s="19" t="s">
        <v>249</v>
      </c>
      <c r="B7" s="21">
        <v>20.57</v>
      </c>
      <c r="C7" s="21">
        <v>0.5</v>
      </c>
      <c r="D7" s="21">
        <v>20.65</v>
      </c>
      <c r="E7" s="21">
        <v>0.98</v>
      </c>
      <c r="F7" s="21">
        <v>21.83</v>
      </c>
      <c r="G7" s="21">
        <v>0.17</v>
      </c>
      <c r="H7" s="21">
        <v>77.53</v>
      </c>
      <c r="I7" s="21">
        <v>0.55000000000000004</v>
      </c>
      <c r="J7" s="21">
        <v>77.48</v>
      </c>
      <c r="K7" s="21">
        <v>1.19</v>
      </c>
      <c r="L7" s="21">
        <v>76.150000000000006</v>
      </c>
      <c r="M7" s="21">
        <v>0.31</v>
      </c>
      <c r="N7" s="21">
        <v>1.87</v>
      </c>
      <c r="O7" s="21">
        <v>0.25</v>
      </c>
      <c r="P7" s="21">
        <v>1.83</v>
      </c>
      <c r="Q7" s="21">
        <v>0.22</v>
      </c>
      <c r="R7" s="21">
        <v>2.0499999999999998</v>
      </c>
      <c r="S7" s="21">
        <v>0.17</v>
      </c>
    </row>
    <row r="8" spans="1:19">
      <c r="A8" s="19" t="s">
        <v>250</v>
      </c>
      <c r="B8" s="21">
        <v>19.600000000000001</v>
      </c>
      <c r="C8" s="21">
        <v>0.08</v>
      </c>
      <c r="D8" s="21">
        <v>19.43</v>
      </c>
      <c r="E8" s="21">
        <v>0.1</v>
      </c>
      <c r="F8" s="21">
        <v>20.68</v>
      </c>
      <c r="G8" s="21">
        <v>1.01</v>
      </c>
      <c r="H8" s="21">
        <v>78.53</v>
      </c>
      <c r="I8" s="21">
        <v>0.21</v>
      </c>
      <c r="J8" s="21">
        <v>78.75</v>
      </c>
      <c r="K8" s="21">
        <v>0.17</v>
      </c>
      <c r="L8" s="21">
        <v>77.13</v>
      </c>
      <c r="M8" s="21">
        <v>1.2</v>
      </c>
      <c r="N8" s="21">
        <v>1.9</v>
      </c>
      <c r="O8" s="21">
        <v>0.14000000000000001</v>
      </c>
      <c r="P8" s="21">
        <v>1.85</v>
      </c>
      <c r="Q8" s="21">
        <v>0.19</v>
      </c>
      <c r="R8" s="21">
        <v>2.2799999999999998</v>
      </c>
      <c r="S8" s="21">
        <v>0.17</v>
      </c>
    </row>
    <row r="9" spans="1:19">
      <c r="A9" s="19" t="s">
        <v>251</v>
      </c>
      <c r="B9" s="21">
        <v>19.329999999999998</v>
      </c>
      <c r="C9" s="21">
        <v>0.05</v>
      </c>
      <c r="D9" s="21">
        <v>19.25</v>
      </c>
      <c r="E9" s="21">
        <v>0.06</v>
      </c>
      <c r="F9" s="21">
        <v>19.5</v>
      </c>
      <c r="G9" s="21">
        <v>0.14000000000000001</v>
      </c>
      <c r="H9" s="21">
        <v>78.83</v>
      </c>
      <c r="I9" s="21">
        <v>0.1</v>
      </c>
      <c r="J9" s="21">
        <v>78.7</v>
      </c>
      <c r="K9" s="21">
        <v>0.14000000000000001</v>
      </c>
      <c r="L9" s="21">
        <v>78.33</v>
      </c>
      <c r="M9" s="21">
        <v>0.05</v>
      </c>
      <c r="N9" s="21">
        <v>1.78</v>
      </c>
      <c r="O9" s="21">
        <v>0.15</v>
      </c>
      <c r="P9" s="21">
        <v>2.0299999999999998</v>
      </c>
      <c r="Q9" s="21">
        <v>0.13</v>
      </c>
      <c r="R9" s="21">
        <v>2.2000000000000002</v>
      </c>
      <c r="S9" s="21">
        <v>0.18</v>
      </c>
    </row>
    <row r="10" spans="1:19">
      <c r="A10" s="19" t="s">
        <v>252</v>
      </c>
      <c r="B10" s="21">
        <v>17.7</v>
      </c>
      <c r="C10" s="21">
        <v>0.78</v>
      </c>
      <c r="D10" s="21">
        <v>19.07</v>
      </c>
      <c r="E10" s="21">
        <v>0.06</v>
      </c>
      <c r="F10" s="21">
        <v>18.57</v>
      </c>
      <c r="G10" s="21">
        <v>0.84</v>
      </c>
      <c r="H10" s="21">
        <v>80.13</v>
      </c>
      <c r="I10" s="21">
        <v>1.1599999999999999</v>
      </c>
      <c r="J10" s="21">
        <v>78.88</v>
      </c>
      <c r="K10" s="21">
        <v>0.22</v>
      </c>
      <c r="L10" s="21">
        <v>79.180000000000007</v>
      </c>
      <c r="M10" s="21">
        <v>0.96</v>
      </c>
      <c r="N10" s="21">
        <v>1.83</v>
      </c>
      <c r="O10" s="21">
        <v>0.31</v>
      </c>
      <c r="P10" s="21">
        <v>2</v>
      </c>
      <c r="Q10" s="21">
        <v>0.18</v>
      </c>
      <c r="R10" s="21">
        <v>2.08</v>
      </c>
      <c r="S10" s="21">
        <v>0.19</v>
      </c>
    </row>
    <row r="11" spans="1:19">
      <c r="A11" s="19" t="s">
        <v>245</v>
      </c>
      <c r="B11" s="21">
        <v>20.57</v>
      </c>
      <c r="C11" s="21">
        <v>0.5</v>
      </c>
      <c r="D11" s="21">
        <v>20.65</v>
      </c>
      <c r="E11" s="21">
        <v>0.98</v>
      </c>
      <c r="F11" s="21">
        <v>21.83</v>
      </c>
      <c r="G11" s="21">
        <v>0.17</v>
      </c>
      <c r="H11" s="21">
        <v>77.53</v>
      </c>
      <c r="I11" s="21">
        <v>0.55000000000000004</v>
      </c>
      <c r="J11" s="21">
        <v>77.48</v>
      </c>
      <c r="K11" s="21">
        <v>1.19</v>
      </c>
      <c r="L11" s="21">
        <v>76.150000000000006</v>
      </c>
      <c r="M11" s="21">
        <v>0.31</v>
      </c>
      <c r="N11" s="21">
        <v>1.87</v>
      </c>
      <c r="O11" s="21">
        <v>0.25</v>
      </c>
      <c r="P11" s="21">
        <v>1.83</v>
      </c>
      <c r="Q11" s="21">
        <v>0.22</v>
      </c>
      <c r="R11" s="21">
        <v>2.0499999999999998</v>
      </c>
      <c r="S11" s="21">
        <v>0.17</v>
      </c>
    </row>
    <row r="12" spans="1:19">
      <c r="A12" s="19" t="s">
        <v>246</v>
      </c>
      <c r="B12" s="21">
        <v>20.47</v>
      </c>
      <c r="C12" s="21">
        <v>0.12</v>
      </c>
      <c r="D12" s="21">
        <v>20.67</v>
      </c>
      <c r="E12" s="21">
        <v>0.21</v>
      </c>
      <c r="F12" s="21">
        <v>20.23</v>
      </c>
      <c r="G12" s="21">
        <v>0.15</v>
      </c>
      <c r="H12" s="21">
        <v>77.33</v>
      </c>
      <c r="I12" s="21">
        <v>0.15</v>
      </c>
      <c r="J12" s="21">
        <v>77.23</v>
      </c>
      <c r="K12" s="21">
        <v>0.38</v>
      </c>
      <c r="L12" s="21">
        <v>77.77</v>
      </c>
      <c r="M12" s="21">
        <v>0.31</v>
      </c>
      <c r="N12" s="21">
        <v>2.23</v>
      </c>
      <c r="O12" s="21">
        <v>0.06</v>
      </c>
      <c r="P12" s="21">
        <v>2.1</v>
      </c>
      <c r="Q12" s="21">
        <v>0.2</v>
      </c>
      <c r="R12" s="21">
        <v>2.0299999999999998</v>
      </c>
      <c r="S12" s="21">
        <v>0.21</v>
      </c>
    </row>
    <row r="13" spans="1:19">
      <c r="A13" s="19" t="s">
        <v>247</v>
      </c>
      <c r="B13" s="21">
        <v>20.13</v>
      </c>
      <c r="C13" s="21">
        <v>0.1</v>
      </c>
      <c r="D13" s="21">
        <v>20.2</v>
      </c>
      <c r="E13" s="21">
        <v>0.14000000000000001</v>
      </c>
      <c r="F13" s="21">
        <v>19.670000000000002</v>
      </c>
      <c r="G13" s="21">
        <v>0.12</v>
      </c>
      <c r="H13" s="21">
        <v>77.83</v>
      </c>
      <c r="I13" s="21">
        <v>0.25</v>
      </c>
      <c r="J13" s="21">
        <v>77.83</v>
      </c>
      <c r="K13" s="21">
        <v>0.26</v>
      </c>
      <c r="L13" s="21">
        <v>78.23</v>
      </c>
      <c r="M13" s="21">
        <v>0.25</v>
      </c>
      <c r="N13" s="21">
        <v>2.08</v>
      </c>
      <c r="O13" s="21">
        <v>0.21</v>
      </c>
      <c r="P13" s="21">
        <v>1.98</v>
      </c>
      <c r="Q13" s="21">
        <v>0.21</v>
      </c>
      <c r="R13" s="21">
        <v>2.0699999999999998</v>
      </c>
      <c r="S13" s="21">
        <v>0.15</v>
      </c>
    </row>
    <row r="14" spans="1:19">
      <c r="A14" s="19" t="s">
        <v>248</v>
      </c>
      <c r="B14" s="21">
        <v>19.5</v>
      </c>
      <c r="C14" s="21">
        <v>0.34</v>
      </c>
      <c r="D14" s="21">
        <v>19.3</v>
      </c>
      <c r="E14" s="21">
        <v>1.07</v>
      </c>
      <c r="F14" s="21">
        <v>19.45</v>
      </c>
      <c r="G14" s="21">
        <v>0.06</v>
      </c>
      <c r="H14" s="21">
        <v>78.5</v>
      </c>
      <c r="I14" s="21">
        <v>0.54</v>
      </c>
      <c r="J14" s="21">
        <v>78.849999999999994</v>
      </c>
      <c r="K14" s="21">
        <v>1.1000000000000001</v>
      </c>
      <c r="L14" s="21">
        <v>78.55</v>
      </c>
      <c r="M14" s="21">
        <v>0.17</v>
      </c>
      <c r="N14" s="21">
        <v>2</v>
      </c>
      <c r="O14" s="21">
        <v>0.22</v>
      </c>
      <c r="P14" s="21">
        <v>1.83</v>
      </c>
      <c r="Q14" s="21">
        <v>0.05</v>
      </c>
      <c r="R14" s="21">
        <v>2</v>
      </c>
      <c r="S14" s="21">
        <v>0.22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S35"/>
  <sheetViews>
    <sheetView topLeftCell="A10" workbookViewId="0">
      <selection activeCell="B22" sqref="B22:K34"/>
    </sheetView>
  </sheetViews>
  <sheetFormatPr defaultRowHeight="13.8"/>
  <cols>
    <col min="1" max="1" width="8.88671875" style="2"/>
    <col min="2" max="2" width="12" style="2" customWidth="1"/>
    <col min="3" max="7" width="8.88671875" style="2"/>
    <col min="8" max="8" width="10.6640625" style="2" customWidth="1"/>
    <col min="9" max="16384" width="8.88671875" style="2"/>
  </cols>
  <sheetData>
    <row r="3" spans="1:19">
      <c r="A3" s="2" t="e">
        <f>_xlfn.CONCAT(#REF!)</f>
        <v>#REF!</v>
      </c>
    </row>
    <row r="4" spans="1:19">
      <c r="A4" s="2" t="e">
        <f>_xlfn.CONCAT(#REF!)</f>
        <v>#REF!</v>
      </c>
    </row>
    <row r="5" spans="1:19" ht="15">
      <c r="A5" s="2" t="e">
        <f>_xlfn.CONCAT(#REF!)</f>
        <v>#REF!</v>
      </c>
      <c r="H5" s="32"/>
      <c r="I5" t="s">
        <v>81</v>
      </c>
      <c r="J5" t="s">
        <v>82</v>
      </c>
      <c r="K5" t="s">
        <v>82</v>
      </c>
      <c r="L5" t="s">
        <v>82</v>
      </c>
      <c r="M5" t="s">
        <v>82</v>
      </c>
      <c r="N5" s="2" t="s">
        <v>82</v>
      </c>
      <c r="O5" s="2" t="s">
        <v>82</v>
      </c>
      <c r="P5" s="2" t="s">
        <v>82</v>
      </c>
      <c r="Q5" s="2" t="s">
        <v>82</v>
      </c>
    </row>
    <row r="6" spans="1:19">
      <c r="A6" s="2" t="e">
        <f>_xlfn.CONCAT(#REF!)</f>
        <v>#REF!</v>
      </c>
      <c r="H6" s="37" t="s">
        <v>131</v>
      </c>
      <c r="I6" s="36">
        <v>76.150000000000006</v>
      </c>
      <c r="J6"/>
      <c r="K6"/>
      <c r="L6"/>
      <c r="M6" t="s">
        <v>160</v>
      </c>
      <c r="S6" s="2" t="str">
        <f t="shared" ref="S6:S17" si="0">_xlfn.CONCAT(J6:Q6)</f>
        <v>D</v>
      </c>
    </row>
    <row r="7" spans="1:19">
      <c r="A7" s="2" t="e">
        <f>_xlfn.CONCAT(#REF!)</f>
        <v>#REF!</v>
      </c>
      <c r="H7" s="37" t="s">
        <v>132</v>
      </c>
      <c r="I7" s="36">
        <v>77.125</v>
      </c>
      <c r="J7"/>
      <c r="K7"/>
      <c r="L7" t="s">
        <v>159</v>
      </c>
      <c r="M7" t="s">
        <v>160</v>
      </c>
      <c r="S7" s="2" t="str">
        <f t="shared" si="0"/>
        <v>CD</v>
      </c>
    </row>
    <row r="8" spans="1:19">
      <c r="A8" s="2" t="e">
        <f>_xlfn.CONCAT(#REF!)</f>
        <v>#REF!</v>
      </c>
      <c r="H8" s="37" t="s">
        <v>133</v>
      </c>
      <c r="I8" s="36">
        <v>78.325000000000003</v>
      </c>
      <c r="J8"/>
      <c r="K8" t="s">
        <v>158</v>
      </c>
      <c r="L8" t="s">
        <v>159</v>
      </c>
      <c r="M8"/>
      <c r="S8" s="2" t="str">
        <f t="shared" si="0"/>
        <v>BC</v>
      </c>
    </row>
    <row r="9" spans="1:19" ht="13.8" customHeight="1">
      <c r="A9" s="2" t="e">
        <f>_xlfn.CONCAT(#REF!)</f>
        <v>#REF!</v>
      </c>
      <c r="H9" s="38" t="s">
        <v>134</v>
      </c>
      <c r="I9" s="36">
        <v>79.174999999999997</v>
      </c>
      <c r="J9" t="s">
        <v>83</v>
      </c>
      <c r="K9" t="s">
        <v>158</v>
      </c>
      <c r="L9"/>
      <c r="M9"/>
      <c r="S9" s="2" t="str">
        <f t="shared" si="0"/>
        <v>AB</v>
      </c>
    </row>
    <row r="10" spans="1:19" ht="13.8" customHeight="1">
      <c r="A10" s="2" t="e">
        <f>_xlfn.CONCAT(#REF!)</f>
        <v>#REF!</v>
      </c>
      <c r="H10" s="37" t="s">
        <v>127</v>
      </c>
      <c r="I10" s="36">
        <v>76.150000000000006</v>
      </c>
      <c r="J10"/>
      <c r="K10"/>
      <c r="L10"/>
      <c r="M10" t="s">
        <v>160</v>
      </c>
      <c r="S10" s="2" t="str">
        <f t="shared" si="0"/>
        <v>D</v>
      </c>
    </row>
    <row r="11" spans="1:19">
      <c r="A11" s="2" t="e">
        <f>_xlfn.CONCAT(#REF!)</f>
        <v>#REF!</v>
      </c>
      <c r="H11" s="38" t="s">
        <v>135</v>
      </c>
      <c r="I11" s="36">
        <v>76.150000000000006</v>
      </c>
      <c r="J11"/>
      <c r="K11"/>
      <c r="L11"/>
      <c r="M11" t="s">
        <v>160</v>
      </c>
      <c r="S11" s="2" t="str">
        <f t="shared" si="0"/>
        <v>D</v>
      </c>
    </row>
    <row r="12" spans="1:19">
      <c r="A12" s="2" t="e">
        <f>_xlfn.CONCAT(#REF!)</f>
        <v>#REF!</v>
      </c>
      <c r="H12" s="37" t="s">
        <v>128</v>
      </c>
      <c r="I12" s="36">
        <v>77.766670000000005</v>
      </c>
      <c r="J12"/>
      <c r="K12" t="s">
        <v>158</v>
      </c>
      <c r="L12" t="s">
        <v>159</v>
      </c>
      <c r="M12" t="s">
        <v>160</v>
      </c>
      <c r="S12" s="2" t="str">
        <f t="shared" si="0"/>
        <v>BCD</v>
      </c>
    </row>
    <row r="13" spans="1:19">
      <c r="H13" s="38" t="s">
        <v>136</v>
      </c>
      <c r="I13" s="36">
        <v>78.474999999999994</v>
      </c>
      <c r="J13"/>
      <c r="K13" t="s">
        <v>158</v>
      </c>
      <c r="L13" t="s">
        <v>159</v>
      </c>
      <c r="M13"/>
      <c r="S13" s="2" t="str">
        <f t="shared" si="0"/>
        <v>BC</v>
      </c>
    </row>
    <row r="14" spans="1:19">
      <c r="H14" s="37" t="s">
        <v>129</v>
      </c>
      <c r="I14" s="36">
        <v>78.233329999999995</v>
      </c>
      <c r="J14"/>
      <c r="K14" t="s">
        <v>158</v>
      </c>
      <c r="L14" t="s">
        <v>159</v>
      </c>
      <c r="M14"/>
      <c r="S14" s="2" t="str">
        <f t="shared" si="0"/>
        <v>BC</v>
      </c>
    </row>
    <row r="15" spans="1:19">
      <c r="H15" s="38" t="s">
        <v>137</v>
      </c>
      <c r="I15" s="36">
        <v>79.2</v>
      </c>
      <c r="J15" t="s">
        <v>83</v>
      </c>
      <c r="K15" t="s">
        <v>158</v>
      </c>
      <c r="L15"/>
      <c r="M15"/>
      <c r="S15" s="2" t="str">
        <f t="shared" si="0"/>
        <v>AB</v>
      </c>
    </row>
    <row r="16" spans="1:19">
      <c r="H16" s="37" t="s">
        <v>130</v>
      </c>
      <c r="I16" s="36">
        <v>78.55</v>
      </c>
      <c r="J16"/>
      <c r="K16" t="s">
        <v>158</v>
      </c>
      <c r="L16" t="s">
        <v>159</v>
      </c>
      <c r="M16"/>
      <c r="S16" s="2" t="str">
        <f t="shared" si="0"/>
        <v>BC</v>
      </c>
    </row>
    <row r="17" spans="2:19">
      <c r="H17" s="37" t="s">
        <v>138</v>
      </c>
      <c r="I17" s="36">
        <v>80.266670000000005</v>
      </c>
      <c r="J17" t="s">
        <v>83</v>
      </c>
      <c r="K17"/>
      <c r="L17"/>
      <c r="M17"/>
      <c r="S17" s="2" t="str">
        <f t="shared" si="0"/>
        <v>A</v>
      </c>
    </row>
    <row r="18" spans="2:19">
      <c r="H18"/>
      <c r="I18"/>
      <c r="J18"/>
      <c r="K18"/>
      <c r="L18"/>
      <c r="M18"/>
      <c r="N18"/>
    </row>
    <row r="19" spans="2:19" ht="13.8" customHeight="1">
      <c r="H19"/>
      <c r="I19"/>
      <c r="J19"/>
      <c r="K19"/>
      <c r="L19"/>
      <c r="M19"/>
      <c r="N19"/>
    </row>
    <row r="20" spans="2:19">
      <c r="H20"/>
      <c r="I20"/>
      <c r="J20"/>
      <c r="K20"/>
      <c r="L20"/>
      <c r="M20"/>
      <c r="N20"/>
    </row>
    <row r="21" spans="2:19">
      <c r="F21" s="20"/>
      <c r="G21" s="18"/>
      <c r="H21" s="19"/>
      <c r="I21" s="19"/>
      <c r="J21" s="19"/>
      <c r="K21" s="19"/>
      <c r="L21" s="19"/>
      <c r="M21" s="3"/>
      <c r="N21" s="3"/>
      <c r="O21" s="3"/>
    </row>
    <row r="22" spans="2:19">
      <c r="B22" s="20" t="s">
        <v>142</v>
      </c>
      <c r="C22" s="18" t="s">
        <v>89</v>
      </c>
      <c r="D22" s="19" t="s">
        <v>80</v>
      </c>
      <c r="E22" s="19" t="s">
        <v>90</v>
      </c>
      <c r="F22" s="19" t="s">
        <v>80</v>
      </c>
      <c r="G22" s="19" t="s">
        <v>91</v>
      </c>
      <c r="H22" s="19" t="s">
        <v>80</v>
      </c>
      <c r="I22" s="3"/>
      <c r="J22" s="3"/>
      <c r="K22" s="3"/>
      <c r="L22" s="21"/>
      <c r="M22" s="21"/>
      <c r="O22"/>
    </row>
    <row r="23" spans="2:19" customFormat="1">
      <c r="B23" s="18" t="s">
        <v>127</v>
      </c>
      <c r="C23" s="21">
        <v>21.83</v>
      </c>
      <c r="D23" s="21">
        <v>0.17</v>
      </c>
      <c r="E23" s="21">
        <v>76.150000000000006</v>
      </c>
      <c r="F23" s="21">
        <v>0.31</v>
      </c>
      <c r="G23" s="21">
        <v>2.0499999999999998</v>
      </c>
      <c r="H23" s="21">
        <v>0.17</v>
      </c>
      <c r="I23" s="21" t="s">
        <v>83</v>
      </c>
      <c r="J23" s="2" t="s">
        <v>160</v>
      </c>
      <c r="K23" t="s">
        <v>83</v>
      </c>
      <c r="L23" s="21"/>
      <c r="M23" s="21"/>
      <c r="N23" s="2"/>
    </row>
    <row r="24" spans="2:19">
      <c r="B24" s="19" t="s">
        <v>128</v>
      </c>
      <c r="C24" s="21">
        <v>20.23</v>
      </c>
      <c r="D24" s="21">
        <v>0.15</v>
      </c>
      <c r="E24" s="21">
        <v>77.77</v>
      </c>
      <c r="F24" s="21">
        <v>0.31</v>
      </c>
      <c r="G24" s="21">
        <v>2.0299999999999998</v>
      </c>
      <c r="H24" s="21">
        <v>0.21</v>
      </c>
      <c r="I24" s="21" t="s">
        <v>158</v>
      </c>
      <c r="J24" s="2" t="s">
        <v>87</v>
      </c>
      <c r="K24" t="s">
        <v>83</v>
      </c>
      <c r="L24" s="21"/>
      <c r="M24" s="21"/>
      <c r="O24"/>
    </row>
    <row r="25" spans="2:19">
      <c r="B25" s="19" t="s">
        <v>129</v>
      </c>
      <c r="C25" s="21">
        <v>19.670000000000002</v>
      </c>
      <c r="D25" s="21">
        <v>0.12</v>
      </c>
      <c r="E25" s="21">
        <v>78.23</v>
      </c>
      <c r="F25" s="21">
        <v>0.25</v>
      </c>
      <c r="G25" s="21">
        <v>2.0699999999999998</v>
      </c>
      <c r="H25" s="21">
        <v>0.15</v>
      </c>
      <c r="I25" s="21" t="s">
        <v>166</v>
      </c>
      <c r="J25" s="2" t="s">
        <v>166</v>
      </c>
      <c r="K25" t="s">
        <v>83</v>
      </c>
      <c r="L25" s="21"/>
      <c r="M25" s="21"/>
      <c r="O25"/>
    </row>
    <row r="26" spans="2:19">
      <c r="B26" s="19" t="s">
        <v>130</v>
      </c>
      <c r="C26" s="21">
        <v>19.45</v>
      </c>
      <c r="D26" s="21">
        <v>0.06</v>
      </c>
      <c r="E26" s="21">
        <v>78.55</v>
      </c>
      <c r="F26" s="21">
        <v>0.17</v>
      </c>
      <c r="G26" s="21">
        <v>2</v>
      </c>
      <c r="H26" s="21">
        <v>0.22</v>
      </c>
      <c r="I26" s="21" t="s">
        <v>166</v>
      </c>
      <c r="J26" s="2" t="s">
        <v>166</v>
      </c>
      <c r="K26" t="s">
        <v>83</v>
      </c>
      <c r="L26" s="21"/>
      <c r="M26" s="21"/>
      <c r="O26"/>
    </row>
    <row r="27" spans="2:19">
      <c r="B27" s="19" t="s">
        <v>131</v>
      </c>
      <c r="C27" s="21">
        <v>21.83</v>
      </c>
      <c r="D27" s="21">
        <v>0.17</v>
      </c>
      <c r="E27" s="21">
        <v>76.150000000000006</v>
      </c>
      <c r="F27" s="21">
        <v>0.31</v>
      </c>
      <c r="G27" s="21">
        <v>2.0499999999999998</v>
      </c>
      <c r="H27" s="21">
        <v>0.17</v>
      </c>
      <c r="I27" s="21" t="s">
        <v>83</v>
      </c>
      <c r="J27" s="2" t="s">
        <v>160</v>
      </c>
      <c r="K27" t="s">
        <v>83</v>
      </c>
      <c r="L27" s="21"/>
      <c r="M27" s="21"/>
      <c r="O27"/>
    </row>
    <row r="28" spans="2:19">
      <c r="B28" s="19" t="s">
        <v>132</v>
      </c>
      <c r="C28" s="21">
        <v>20.68</v>
      </c>
      <c r="D28" s="21">
        <v>1.01</v>
      </c>
      <c r="E28" s="21">
        <v>77.13</v>
      </c>
      <c r="F28" s="21">
        <v>1.2</v>
      </c>
      <c r="G28" s="21">
        <v>2.2799999999999998</v>
      </c>
      <c r="H28" s="21">
        <v>0.17</v>
      </c>
      <c r="I28" s="21" t="s">
        <v>85</v>
      </c>
      <c r="J28" s="2" t="s">
        <v>84</v>
      </c>
      <c r="K28" t="s">
        <v>83</v>
      </c>
      <c r="L28" s="21"/>
      <c r="M28" s="21"/>
      <c r="O28"/>
    </row>
    <row r="29" spans="2:19">
      <c r="B29" s="19" t="s">
        <v>133</v>
      </c>
      <c r="C29" s="21">
        <v>19.5</v>
      </c>
      <c r="D29" s="21">
        <v>0.14000000000000001</v>
      </c>
      <c r="E29" s="21">
        <v>78.33</v>
      </c>
      <c r="F29" s="21">
        <v>0.05</v>
      </c>
      <c r="G29" s="21">
        <v>2.2000000000000002</v>
      </c>
      <c r="H29" s="21">
        <v>0.18</v>
      </c>
      <c r="I29" s="21" t="s">
        <v>166</v>
      </c>
      <c r="J29" s="2" t="s">
        <v>166</v>
      </c>
      <c r="K29" t="s">
        <v>83</v>
      </c>
      <c r="L29" s="21"/>
      <c r="M29" s="21"/>
      <c r="O29"/>
    </row>
    <row r="30" spans="2:19">
      <c r="B30" s="19" t="s">
        <v>134</v>
      </c>
      <c r="C30" s="21">
        <v>18.75</v>
      </c>
      <c r="D30" s="21">
        <v>0.78</v>
      </c>
      <c r="E30" s="21">
        <v>79.180000000000007</v>
      </c>
      <c r="F30" s="21">
        <v>0.96</v>
      </c>
      <c r="G30" s="21">
        <v>2.08</v>
      </c>
      <c r="H30" s="21">
        <v>0.19</v>
      </c>
      <c r="I30" s="21" t="s">
        <v>84</v>
      </c>
      <c r="J30" s="2" t="s">
        <v>85</v>
      </c>
      <c r="K30" t="s">
        <v>83</v>
      </c>
      <c r="L30" s="21"/>
      <c r="M30" s="21"/>
      <c r="O30"/>
    </row>
    <row r="31" spans="2:19">
      <c r="B31" s="19" t="s">
        <v>135</v>
      </c>
      <c r="C31" s="21">
        <v>21.83</v>
      </c>
      <c r="D31" s="21">
        <v>0.17</v>
      </c>
      <c r="E31" s="21">
        <v>76.150000000000006</v>
      </c>
      <c r="F31" s="21">
        <v>0.31</v>
      </c>
      <c r="G31" s="21">
        <v>2.0499999999999998</v>
      </c>
      <c r="H31" s="21">
        <v>0.17</v>
      </c>
      <c r="I31" s="21" t="s">
        <v>83</v>
      </c>
      <c r="J31" s="2" t="s">
        <v>160</v>
      </c>
      <c r="K31" t="s">
        <v>83</v>
      </c>
      <c r="L31" s="21"/>
      <c r="M31" s="21"/>
      <c r="O31"/>
    </row>
    <row r="32" spans="2:19">
      <c r="B32" s="19" t="s">
        <v>136</v>
      </c>
      <c r="C32" s="21">
        <v>19.53</v>
      </c>
      <c r="D32" s="21">
        <v>0.05</v>
      </c>
      <c r="E32" s="21">
        <v>78.48</v>
      </c>
      <c r="F32" s="21">
        <v>0.17</v>
      </c>
      <c r="G32" s="21">
        <v>2</v>
      </c>
      <c r="H32" s="21">
        <v>0.14000000000000001</v>
      </c>
      <c r="I32" s="21" t="s">
        <v>166</v>
      </c>
      <c r="J32" s="2" t="s">
        <v>166</v>
      </c>
      <c r="K32" t="s">
        <v>83</v>
      </c>
      <c r="L32" s="21"/>
      <c r="M32" s="21"/>
      <c r="O32"/>
    </row>
    <row r="33" spans="2:15">
      <c r="B33" s="19" t="s">
        <v>137</v>
      </c>
      <c r="C33" s="21">
        <v>18.829999999999998</v>
      </c>
      <c r="D33" s="21">
        <v>1.02</v>
      </c>
      <c r="E33" s="21">
        <v>79.2</v>
      </c>
      <c r="F33" s="21">
        <v>0.99</v>
      </c>
      <c r="G33" s="21">
        <v>2</v>
      </c>
      <c r="H33" s="21">
        <v>0.27</v>
      </c>
      <c r="I33" s="21" t="s">
        <v>84</v>
      </c>
      <c r="J33" s="2" t="s">
        <v>85</v>
      </c>
      <c r="K33" t="s">
        <v>83</v>
      </c>
      <c r="L33" s="21"/>
      <c r="M33" s="21"/>
      <c r="O33"/>
    </row>
    <row r="34" spans="2:15">
      <c r="B34" s="19" t="s">
        <v>138</v>
      </c>
      <c r="C34" s="21">
        <v>17.829999999999998</v>
      </c>
      <c r="D34" s="21">
        <v>0.55000000000000004</v>
      </c>
      <c r="E34" s="21">
        <v>80.27</v>
      </c>
      <c r="F34" s="21">
        <v>0.64</v>
      </c>
      <c r="G34" s="21">
        <v>1.83</v>
      </c>
      <c r="H34" s="21">
        <v>0.15</v>
      </c>
      <c r="I34" s="21" t="s">
        <v>160</v>
      </c>
      <c r="J34" s="2" t="s">
        <v>83</v>
      </c>
      <c r="K34" t="s">
        <v>83</v>
      </c>
      <c r="L34" s="21"/>
      <c r="M34" s="21"/>
      <c r="O34"/>
    </row>
    <row r="35" spans="2:15">
      <c r="G35" s="19"/>
      <c r="H35" s="21"/>
      <c r="I35" s="21"/>
      <c r="J35" s="21"/>
      <c r="K35" s="21"/>
      <c r="L35" s="21"/>
      <c r="M35" s="21"/>
      <c r="O35"/>
    </row>
  </sheetData>
  <autoFilter ref="H5:Q17" xr:uid="{00000000-0001-0000-0500-000000000000}">
    <sortState xmlns:xlrd2="http://schemas.microsoft.com/office/spreadsheetml/2017/richdata2" ref="H6:Q17">
      <sortCondition ref="H5:H17"/>
    </sortState>
  </autoFilter>
  <sortState xmlns:xlrd2="http://schemas.microsoft.com/office/spreadsheetml/2017/richdata2" ref="J33">
    <sortCondition ref="J33"/>
  </sortState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2" r:id="rId4" name="ANOVA_marker_clear">
          <controlPr defaultSize="0" autoLine="0" r:id="rId5">
            <anchor moveWithCells="1">
              <from>
                <xdr:col>0</xdr:col>
                <xdr:colOff>0</xdr:colOff>
                <xdr:row>1</xdr:row>
                <xdr:rowOff>22860</xdr:rowOff>
              </from>
              <to>
                <xdr:col>1</xdr:col>
                <xdr:colOff>76200</xdr:colOff>
                <xdr:row>2</xdr:row>
                <xdr:rowOff>129540</xdr:rowOff>
              </to>
            </anchor>
          </controlPr>
        </control>
      </mc:Choice>
      <mc:Fallback>
        <control shapeId="10252" r:id="rId4" name="ANOVA_marker_clear"/>
      </mc:Fallback>
    </mc:AlternateContent>
    <mc:AlternateContent xmlns:mc="http://schemas.openxmlformats.org/markup-compatibility/2006">
      <mc:Choice Requires="x14">
        <control shapeId="10253" r:id="rId6" name="ANOVA_marker_copy">
          <controlPr defaultSize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53340</xdr:colOff>
                <xdr:row>3</xdr:row>
                <xdr:rowOff>152400</xdr:rowOff>
              </to>
            </anchor>
          </controlPr>
        </control>
      </mc:Choice>
      <mc:Fallback>
        <control shapeId="10253" r:id="rId6" name="ANOVA_marker_cop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T102"/>
  <sheetViews>
    <sheetView topLeftCell="A19" zoomScale="85" zoomScaleNormal="85" workbookViewId="0">
      <selection activeCell="L51" sqref="L51"/>
    </sheetView>
  </sheetViews>
  <sheetFormatPr defaultRowHeight="13.8"/>
  <cols>
    <col min="1" max="1" width="8.88671875" style="3"/>
  </cols>
  <sheetData>
    <row r="1" spans="1:10">
      <c r="A1" s="20" t="s">
        <v>142</v>
      </c>
      <c r="B1" s="18" t="s">
        <v>89</v>
      </c>
      <c r="C1" s="19" t="s">
        <v>80</v>
      </c>
      <c r="D1" s="19" t="s">
        <v>90</v>
      </c>
      <c r="E1" s="19" t="s">
        <v>80</v>
      </c>
      <c r="F1" s="19" t="s">
        <v>91</v>
      </c>
      <c r="G1" s="19" t="s">
        <v>80</v>
      </c>
      <c r="H1" s="3"/>
      <c r="I1" s="3"/>
      <c r="J1" s="3"/>
    </row>
    <row r="2" spans="1:10">
      <c r="A2" s="18" t="s">
        <v>127</v>
      </c>
      <c r="B2" s="21">
        <v>21.83</v>
      </c>
      <c r="C2" s="21">
        <v>0.17</v>
      </c>
      <c r="D2" s="21">
        <v>76.150000000000006</v>
      </c>
      <c r="E2" s="21">
        <v>0.31</v>
      </c>
      <c r="F2" s="21">
        <v>2.0499999999999998</v>
      </c>
      <c r="G2" s="21">
        <v>0.17</v>
      </c>
      <c r="H2" s="21" t="s">
        <v>83</v>
      </c>
      <c r="I2" s="2" t="s">
        <v>160</v>
      </c>
      <c r="J2" t="s">
        <v>83</v>
      </c>
    </row>
    <row r="3" spans="1:10">
      <c r="A3" s="19" t="s">
        <v>128</v>
      </c>
      <c r="B3" s="21">
        <v>20.23</v>
      </c>
      <c r="C3" s="21">
        <v>0.15</v>
      </c>
      <c r="D3" s="21">
        <v>77.77</v>
      </c>
      <c r="E3" s="21">
        <v>0.31</v>
      </c>
      <c r="F3" s="21">
        <v>2.0299999999999998</v>
      </c>
      <c r="G3" s="21">
        <v>0.21</v>
      </c>
      <c r="H3" s="21" t="s">
        <v>158</v>
      </c>
      <c r="I3" s="2" t="s">
        <v>87</v>
      </c>
      <c r="J3" t="s">
        <v>83</v>
      </c>
    </row>
    <row r="4" spans="1:10">
      <c r="A4" s="19" t="s">
        <v>129</v>
      </c>
      <c r="B4" s="21">
        <v>19.670000000000002</v>
      </c>
      <c r="C4" s="21">
        <v>0.12</v>
      </c>
      <c r="D4" s="21">
        <v>78.23</v>
      </c>
      <c r="E4" s="21">
        <v>0.25</v>
      </c>
      <c r="F4" s="21">
        <v>2.0699999999999998</v>
      </c>
      <c r="G4" s="21">
        <v>0.15</v>
      </c>
      <c r="H4" s="21" t="s">
        <v>166</v>
      </c>
      <c r="I4" s="2" t="s">
        <v>166</v>
      </c>
      <c r="J4" t="s">
        <v>83</v>
      </c>
    </row>
    <row r="5" spans="1:10">
      <c r="A5" s="19" t="s">
        <v>130</v>
      </c>
      <c r="B5" s="21">
        <v>19.45</v>
      </c>
      <c r="C5" s="21">
        <v>0.06</v>
      </c>
      <c r="D5" s="21">
        <v>78.55</v>
      </c>
      <c r="E5" s="21">
        <v>0.17</v>
      </c>
      <c r="F5" s="21">
        <v>2</v>
      </c>
      <c r="G5" s="21">
        <v>0.22</v>
      </c>
      <c r="H5" s="21" t="s">
        <v>166</v>
      </c>
      <c r="I5" s="2" t="s">
        <v>166</v>
      </c>
      <c r="J5" t="s">
        <v>83</v>
      </c>
    </row>
    <row r="6" spans="1:10">
      <c r="A6" s="19" t="s">
        <v>131</v>
      </c>
      <c r="B6" s="21">
        <v>21.83</v>
      </c>
      <c r="C6" s="21">
        <v>0.17</v>
      </c>
      <c r="D6" s="21">
        <v>76.150000000000006</v>
      </c>
      <c r="E6" s="21">
        <v>0.31</v>
      </c>
      <c r="F6" s="21">
        <v>2.0499999999999998</v>
      </c>
      <c r="G6" s="21">
        <v>0.17</v>
      </c>
      <c r="H6" s="21" t="s">
        <v>83</v>
      </c>
      <c r="I6" s="2" t="s">
        <v>160</v>
      </c>
      <c r="J6" t="s">
        <v>83</v>
      </c>
    </row>
    <row r="7" spans="1:10">
      <c r="A7" s="19" t="s">
        <v>132</v>
      </c>
      <c r="B7" s="21">
        <v>20.68</v>
      </c>
      <c r="C7" s="21">
        <v>1.01</v>
      </c>
      <c r="D7" s="21">
        <v>77.13</v>
      </c>
      <c r="E7" s="21">
        <v>1.2</v>
      </c>
      <c r="F7" s="21">
        <v>2.2799999999999998</v>
      </c>
      <c r="G7" s="21">
        <v>0.17</v>
      </c>
      <c r="H7" s="21" t="s">
        <v>85</v>
      </c>
      <c r="I7" s="2" t="s">
        <v>84</v>
      </c>
      <c r="J7" t="s">
        <v>83</v>
      </c>
    </row>
    <row r="8" spans="1:10">
      <c r="A8" s="19" t="s">
        <v>133</v>
      </c>
      <c r="B8" s="21">
        <v>19.5</v>
      </c>
      <c r="C8" s="21">
        <v>0.14000000000000001</v>
      </c>
      <c r="D8" s="21">
        <v>78.33</v>
      </c>
      <c r="E8" s="21">
        <v>0.05</v>
      </c>
      <c r="F8" s="21">
        <v>2.2000000000000002</v>
      </c>
      <c r="G8" s="21">
        <v>0.18</v>
      </c>
      <c r="H8" s="21" t="s">
        <v>166</v>
      </c>
      <c r="I8" s="2" t="s">
        <v>166</v>
      </c>
      <c r="J8" t="s">
        <v>83</v>
      </c>
    </row>
    <row r="9" spans="1:10">
      <c r="A9" s="19" t="s">
        <v>134</v>
      </c>
      <c r="B9" s="21">
        <v>18.75</v>
      </c>
      <c r="C9" s="21">
        <v>0.78</v>
      </c>
      <c r="D9" s="21">
        <v>79.180000000000007</v>
      </c>
      <c r="E9" s="21">
        <v>0.96</v>
      </c>
      <c r="F9" s="21">
        <v>2.08</v>
      </c>
      <c r="G9" s="21">
        <v>0.19</v>
      </c>
      <c r="H9" s="21" t="s">
        <v>84</v>
      </c>
      <c r="I9" s="2" t="s">
        <v>85</v>
      </c>
      <c r="J9" t="s">
        <v>83</v>
      </c>
    </row>
    <row r="10" spans="1:10">
      <c r="A10" s="19" t="s">
        <v>135</v>
      </c>
      <c r="B10" s="21">
        <v>21.83</v>
      </c>
      <c r="C10" s="21">
        <v>0.17</v>
      </c>
      <c r="D10" s="21">
        <v>76.150000000000006</v>
      </c>
      <c r="E10" s="21">
        <v>0.31</v>
      </c>
      <c r="F10" s="21">
        <v>2.0499999999999998</v>
      </c>
      <c r="G10" s="21">
        <v>0.17</v>
      </c>
      <c r="H10" s="21" t="s">
        <v>83</v>
      </c>
      <c r="I10" s="2" t="s">
        <v>160</v>
      </c>
      <c r="J10" t="s">
        <v>83</v>
      </c>
    </row>
    <row r="11" spans="1:10">
      <c r="A11" s="19" t="s">
        <v>136</v>
      </c>
      <c r="B11" s="21">
        <v>19.53</v>
      </c>
      <c r="C11" s="21">
        <v>0.05</v>
      </c>
      <c r="D11" s="21">
        <v>78.48</v>
      </c>
      <c r="E11" s="21">
        <v>0.17</v>
      </c>
      <c r="F11" s="21">
        <v>2</v>
      </c>
      <c r="G11" s="21">
        <v>0.14000000000000001</v>
      </c>
      <c r="H11" s="21" t="s">
        <v>166</v>
      </c>
      <c r="I11" s="2" t="s">
        <v>166</v>
      </c>
      <c r="J11" t="s">
        <v>83</v>
      </c>
    </row>
    <row r="12" spans="1:10">
      <c r="A12" s="19" t="s">
        <v>137</v>
      </c>
      <c r="B12" s="21">
        <v>18.829999999999998</v>
      </c>
      <c r="C12" s="21">
        <v>1.02</v>
      </c>
      <c r="D12" s="21">
        <v>79.2</v>
      </c>
      <c r="E12" s="21">
        <v>0.99</v>
      </c>
      <c r="F12" s="21">
        <v>2</v>
      </c>
      <c r="G12" s="21">
        <v>0.27</v>
      </c>
      <c r="H12" s="21" t="s">
        <v>84</v>
      </c>
      <c r="I12" s="2" t="s">
        <v>85</v>
      </c>
      <c r="J12" t="s">
        <v>83</v>
      </c>
    </row>
    <row r="13" spans="1:10">
      <c r="A13" s="19" t="s">
        <v>138</v>
      </c>
      <c r="B13" s="21">
        <v>17.829999999999998</v>
      </c>
      <c r="C13" s="21">
        <v>0.55000000000000004</v>
      </c>
      <c r="D13" s="21">
        <v>80.27</v>
      </c>
      <c r="E13" s="21">
        <v>0.64</v>
      </c>
      <c r="F13" s="21">
        <v>1.83</v>
      </c>
      <c r="G13" s="21">
        <v>0.15</v>
      </c>
      <c r="H13" s="21" t="s">
        <v>160</v>
      </c>
      <c r="I13" s="2" t="s">
        <v>83</v>
      </c>
      <c r="J13" t="s">
        <v>83</v>
      </c>
    </row>
    <row r="21" spans="1:4" ht="16.2" customHeight="1"/>
    <row r="22" spans="1:4" ht="16.2" customHeight="1"/>
    <row r="23" spans="1:4" ht="16.2" customHeight="1"/>
    <row r="24" spans="1:4" ht="16.2" customHeight="1"/>
    <row r="25" spans="1:4" ht="16.2" customHeight="1"/>
    <row r="26" spans="1:4" ht="16.2" customHeight="1"/>
    <row r="27" spans="1:4" ht="16.2" customHeight="1"/>
    <row r="28" spans="1:4" ht="16.2" customHeight="1"/>
    <row r="31" spans="1:4">
      <c r="B31" t="s">
        <v>139</v>
      </c>
      <c r="C31" t="s">
        <v>140</v>
      </c>
      <c r="D31" t="s">
        <v>141</v>
      </c>
    </row>
    <row r="32" spans="1:4" ht="16.2">
      <c r="A32" s="3" t="s">
        <v>186</v>
      </c>
      <c r="B32" t="s">
        <v>210</v>
      </c>
      <c r="C32" t="s">
        <v>211</v>
      </c>
      <c r="D32" t="s">
        <v>212</v>
      </c>
    </row>
    <row r="33" spans="1:4" ht="16.2">
      <c r="A33" s="3" t="s">
        <v>187</v>
      </c>
      <c r="B33" t="s">
        <v>213</v>
      </c>
      <c r="C33" t="s">
        <v>214</v>
      </c>
      <c r="D33" t="s">
        <v>215</v>
      </c>
    </row>
    <row r="34" spans="1:4" ht="16.2">
      <c r="A34" s="3" t="s">
        <v>188</v>
      </c>
      <c r="B34" t="s">
        <v>216</v>
      </c>
      <c r="C34" t="s">
        <v>217</v>
      </c>
      <c r="D34" t="s">
        <v>218</v>
      </c>
    </row>
    <row r="35" spans="1:4" ht="16.2">
      <c r="A35" s="3" t="s">
        <v>162</v>
      </c>
      <c r="B35" t="s">
        <v>219</v>
      </c>
      <c r="C35" t="s">
        <v>220</v>
      </c>
      <c r="D35" t="s">
        <v>221</v>
      </c>
    </row>
    <row r="36" spans="1:4" ht="16.2">
      <c r="A36" s="3" t="s">
        <v>189</v>
      </c>
      <c r="B36" t="s">
        <v>210</v>
      </c>
      <c r="C36" t="s">
        <v>211</v>
      </c>
      <c r="D36" t="s">
        <v>212</v>
      </c>
    </row>
    <row r="37" spans="1:4" ht="16.2">
      <c r="A37" s="3" t="s">
        <v>190</v>
      </c>
      <c r="B37" t="s">
        <v>222</v>
      </c>
      <c r="C37" t="s">
        <v>223</v>
      </c>
      <c r="D37" t="s">
        <v>224</v>
      </c>
    </row>
    <row r="38" spans="1:4" ht="16.2">
      <c r="A38" s="3" t="s">
        <v>191</v>
      </c>
      <c r="B38" t="s">
        <v>225</v>
      </c>
      <c r="C38" t="s">
        <v>226</v>
      </c>
      <c r="D38" t="s">
        <v>227</v>
      </c>
    </row>
    <row r="39" spans="1:4" ht="16.2">
      <c r="A39" s="3" t="s">
        <v>192</v>
      </c>
      <c r="B39" t="s">
        <v>228</v>
      </c>
      <c r="C39" t="s">
        <v>229</v>
      </c>
      <c r="D39" t="s">
        <v>230</v>
      </c>
    </row>
    <row r="40" spans="1:4" ht="16.2">
      <c r="A40" s="3" t="s">
        <v>161</v>
      </c>
      <c r="B40" t="s">
        <v>210</v>
      </c>
      <c r="C40" t="s">
        <v>211</v>
      </c>
      <c r="D40" t="s">
        <v>212</v>
      </c>
    </row>
    <row r="41" spans="1:4" ht="16.2">
      <c r="A41" s="3" t="s">
        <v>164</v>
      </c>
      <c r="B41" t="s">
        <v>231</v>
      </c>
      <c r="C41" t="s">
        <v>232</v>
      </c>
      <c r="D41" t="s">
        <v>233</v>
      </c>
    </row>
    <row r="42" spans="1:4" ht="16.2">
      <c r="A42" s="3" t="s">
        <v>163</v>
      </c>
      <c r="B42" t="s">
        <v>234</v>
      </c>
      <c r="C42" t="s">
        <v>235</v>
      </c>
      <c r="D42" t="s">
        <v>236</v>
      </c>
    </row>
    <row r="43" spans="1:4" ht="16.2">
      <c r="A43" s="3" t="s">
        <v>165</v>
      </c>
      <c r="B43" t="s">
        <v>237</v>
      </c>
      <c r="C43" t="s">
        <v>238</v>
      </c>
      <c r="D43" t="s">
        <v>239</v>
      </c>
    </row>
    <row r="61" spans="1:10" s="3" customFormat="1">
      <c r="A61" s="3" t="s">
        <v>168</v>
      </c>
      <c r="B61" s="3" t="s">
        <v>139</v>
      </c>
      <c r="E61" s="3" t="s">
        <v>140</v>
      </c>
      <c r="H61" s="3" t="s">
        <v>141</v>
      </c>
    </row>
    <row r="62" spans="1:10">
      <c r="A62" s="3" t="s">
        <v>186</v>
      </c>
      <c r="B62">
        <v>21.83</v>
      </c>
      <c r="C62">
        <v>0.17</v>
      </c>
      <c r="D62" t="s">
        <v>0</v>
      </c>
      <c r="E62">
        <v>76.150000000000006</v>
      </c>
      <c r="F62">
        <v>0.31</v>
      </c>
      <c r="G62" t="s">
        <v>167</v>
      </c>
      <c r="H62">
        <v>2.0499999999999998</v>
      </c>
      <c r="I62">
        <v>0.17</v>
      </c>
      <c r="J62" t="s">
        <v>0</v>
      </c>
    </row>
    <row r="63" spans="1:10">
      <c r="A63" s="3" t="s">
        <v>187</v>
      </c>
      <c r="B63">
        <v>20.23</v>
      </c>
      <c r="C63">
        <v>0.15</v>
      </c>
      <c r="D63" t="s">
        <v>193</v>
      </c>
      <c r="E63">
        <v>77.77</v>
      </c>
      <c r="F63">
        <v>0.31</v>
      </c>
      <c r="G63" t="s">
        <v>88</v>
      </c>
      <c r="H63">
        <v>2.0299999999999998</v>
      </c>
      <c r="I63">
        <v>0.21</v>
      </c>
      <c r="J63" t="s">
        <v>0</v>
      </c>
    </row>
    <row r="64" spans="1:10">
      <c r="A64" s="3" t="s">
        <v>188</v>
      </c>
      <c r="B64">
        <v>19.670000000000002</v>
      </c>
      <c r="C64">
        <v>0.12</v>
      </c>
      <c r="D64" t="s">
        <v>1</v>
      </c>
      <c r="E64">
        <v>78.23</v>
      </c>
      <c r="F64">
        <v>0.25</v>
      </c>
      <c r="G64" t="s">
        <v>1</v>
      </c>
      <c r="H64">
        <v>2.0699999999999998</v>
      </c>
      <c r="I64">
        <v>0.15</v>
      </c>
      <c r="J64" t="s">
        <v>0</v>
      </c>
    </row>
    <row r="65" spans="1:10">
      <c r="A65" s="3" t="s">
        <v>162</v>
      </c>
      <c r="B65">
        <v>19.45</v>
      </c>
      <c r="C65">
        <v>0.06</v>
      </c>
      <c r="D65" t="s">
        <v>1</v>
      </c>
      <c r="E65">
        <v>78.55</v>
      </c>
      <c r="F65">
        <v>0.17</v>
      </c>
      <c r="G65" t="s">
        <v>1</v>
      </c>
      <c r="H65">
        <v>2</v>
      </c>
      <c r="I65">
        <v>0.22</v>
      </c>
      <c r="J65" t="s">
        <v>0</v>
      </c>
    </row>
    <row r="66" spans="1:10">
      <c r="A66" s="3" t="s">
        <v>189</v>
      </c>
      <c r="B66">
        <v>21.83</v>
      </c>
      <c r="C66">
        <v>0.17</v>
      </c>
      <c r="D66" t="s">
        <v>0</v>
      </c>
      <c r="E66">
        <v>76.150000000000006</v>
      </c>
      <c r="F66">
        <v>0.31</v>
      </c>
      <c r="G66" t="s">
        <v>167</v>
      </c>
      <c r="H66">
        <v>2.0499999999999998</v>
      </c>
      <c r="I66">
        <v>0.17</v>
      </c>
      <c r="J66" t="s">
        <v>0</v>
      </c>
    </row>
    <row r="67" spans="1:10">
      <c r="A67" s="3" t="s">
        <v>190</v>
      </c>
      <c r="B67">
        <v>20.68</v>
      </c>
      <c r="C67">
        <v>1.01</v>
      </c>
      <c r="D67" t="s">
        <v>86</v>
      </c>
      <c r="E67">
        <v>77.13</v>
      </c>
      <c r="F67">
        <v>1.2</v>
      </c>
      <c r="G67" t="s">
        <v>3</v>
      </c>
      <c r="H67">
        <v>2.2799999999999998</v>
      </c>
      <c r="I67">
        <v>0.17</v>
      </c>
      <c r="J67" t="s">
        <v>0</v>
      </c>
    </row>
    <row r="68" spans="1:10">
      <c r="A68" s="3" t="s">
        <v>191</v>
      </c>
      <c r="B68">
        <v>19.5</v>
      </c>
      <c r="C68">
        <v>0.14000000000000001</v>
      </c>
      <c r="D68" t="s">
        <v>1</v>
      </c>
      <c r="E68">
        <v>78.33</v>
      </c>
      <c r="F68">
        <v>0.05</v>
      </c>
      <c r="G68" t="s">
        <v>1</v>
      </c>
      <c r="H68">
        <v>2.2000000000000002</v>
      </c>
      <c r="I68">
        <v>0.18</v>
      </c>
      <c r="J68" t="s">
        <v>0</v>
      </c>
    </row>
    <row r="69" spans="1:10">
      <c r="A69" s="3" t="s">
        <v>192</v>
      </c>
      <c r="B69">
        <v>18.75</v>
      </c>
      <c r="C69">
        <v>0.78</v>
      </c>
      <c r="D69" t="s">
        <v>3</v>
      </c>
      <c r="E69">
        <v>79.180000000000007</v>
      </c>
      <c r="F69">
        <v>0.96</v>
      </c>
      <c r="G69" t="s">
        <v>86</v>
      </c>
      <c r="H69">
        <v>2.08</v>
      </c>
      <c r="I69">
        <v>0.19</v>
      </c>
      <c r="J69" t="s">
        <v>0</v>
      </c>
    </row>
    <row r="70" spans="1:10">
      <c r="A70" s="3" t="s">
        <v>161</v>
      </c>
      <c r="B70">
        <v>21.83</v>
      </c>
      <c r="C70">
        <v>0.17</v>
      </c>
      <c r="D70" t="s">
        <v>0</v>
      </c>
      <c r="E70">
        <v>76.150000000000006</v>
      </c>
      <c r="F70">
        <v>0.31</v>
      </c>
      <c r="G70" t="s">
        <v>167</v>
      </c>
      <c r="H70">
        <v>2.0499999999999998</v>
      </c>
      <c r="I70">
        <v>0.17</v>
      </c>
      <c r="J70" t="s">
        <v>0</v>
      </c>
    </row>
    <row r="71" spans="1:10">
      <c r="A71" s="3" t="s">
        <v>164</v>
      </c>
      <c r="B71">
        <v>19.53</v>
      </c>
      <c r="C71">
        <v>0.05</v>
      </c>
      <c r="D71" t="s">
        <v>1</v>
      </c>
      <c r="E71">
        <v>78.48</v>
      </c>
      <c r="F71">
        <v>0.17</v>
      </c>
      <c r="G71" t="s">
        <v>1</v>
      </c>
      <c r="H71">
        <v>2</v>
      </c>
      <c r="I71">
        <v>0.14000000000000001</v>
      </c>
      <c r="J71" t="s">
        <v>0</v>
      </c>
    </row>
    <row r="72" spans="1:10">
      <c r="A72" s="3" t="s">
        <v>163</v>
      </c>
      <c r="B72">
        <v>18.829999999999998</v>
      </c>
      <c r="C72">
        <v>1.02</v>
      </c>
      <c r="D72" t="s">
        <v>3</v>
      </c>
      <c r="E72">
        <v>79.2</v>
      </c>
      <c r="F72">
        <v>0.99</v>
      </c>
      <c r="G72" t="s">
        <v>86</v>
      </c>
      <c r="H72">
        <v>2</v>
      </c>
      <c r="I72">
        <v>0.27</v>
      </c>
      <c r="J72" t="s">
        <v>0</v>
      </c>
    </row>
    <row r="73" spans="1:10">
      <c r="A73" s="3" t="s">
        <v>165</v>
      </c>
      <c r="B73">
        <v>17.829999999999998</v>
      </c>
      <c r="C73">
        <v>0.55000000000000004</v>
      </c>
      <c r="D73" t="s">
        <v>167</v>
      </c>
      <c r="E73">
        <v>80.27</v>
      </c>
      <c r="F73">
        <v>0.64</v>
      </c>
      <c r="G73" t="s">
        <v>0</v>
      </c>
      <c r="H73">
        <v>1.83</v>
      </c>
      <c r="I73">
        <v>0.15</v>
      </c>
      <c r="J73" t="s">
        <v>0</v>
      </c>
    </row>
    <row r="91" spans="1:98">
      <c r="B91" t="s">
        <v>186</v>
      </c>
      <c r="E91" t="s">
        <v>187</v>
      </c>
      <c r="H91" t="s">
        <v>188</v>
      </c>
      <c r="K91" t="s">
        <v>162</v>
      </c>
      <c r="CN91" t="s">
        <v>139</v>
      </c>
      <c r="CQ91" t="s">
        <v>140</v>
      </c>
      <c r="CT91" t="s">
        <v>141</v>
      </c>
    </row>
    <row r="92" spans="1:98">
      <c r="A92" s="3" t="s">
        <v>139</v>
      </c>
      <c r="B92">
        <v>21.83</v>
      </c>
      <c r="C92">
        <v>0.17</v>
      </c>
      <c r="D92" t="s">
        <v>0</v>
      </c>
      <c r="E92">
        <v>20.23</v>
      </c>
      <c r="F92">
        <v>0.15</v>
      </c>
      <c r="G92" t="s">
        <v>193</v>
      </c>
      <c r="H92">
        <v>19.670000000000002</v>
      </c>
      <c r="I92">
        <v>0.12</v>
      </c>
      <c r="J92" t="s">
        <v>1</v>
      </c>
      <c r="K92">
        <v>19.45</v>
      </c>
      <c r="L92">
        <v>0.06</v>
      </c>
      <c r="M92" t="s">
        <v>1</v>
      </c>
    </row>
    <row r="93" spans="1:98">
      <c r="A93" s="3" t="s">
        <v>140</v>
      </c>
      <c r="B93">
        <v>76.150000000000006</v>
      </c>
      <c r="C93">
        <v>0.31</v>
      </c>
      <c r="D93" t="s">
        <v>167</v>
      </c>
      <c r="E93">
        <v>77.77</v>
      </c>
      <c r="F93">
        <v>0.31</v>
      </c>
      <c r="G93" t="s">
        <v>88</v>
      </c>
      <c r="H93">
        <v>78.23</v>
      </c>
      <c r="I93">
        <v>0.25</v>
      </c>
      <c r="J93" t="s">
        <v>1</v>
      </c>
      <c r="K93">
        <v>78.55</v>
      </c>
      <c r="L93">
        <v>0.17</v>
      </c>
      <c r="M93" t="s">
        <v>1</v>
      </c>
    </row>
    <row r="94" spans="1:98">
      <c r="A94" s="3" t="s">
        <v>141</v>
      </c>
      <c r="B94">
        <v>2.0499999999999998</v>
      </c>
      <c r="C94">
        <v>0.17</v>
      </c>
      <c r="D94" t="s">
        <v>0</v>
      </c>
      <c r="E94">
        <v>2.0299999999999998</v>
      </c>
      <c r="F94">
        <v>0.21</v>
      </c>
      <c r="G94" t="s">
        <v>0</v>
      </c>
      <c r="H94">
        <v>2.0699999999999998</v>
      </c>
      <c r="I94">
        <v>0.15</v>
      </c>
      <c r="J94" t="s">
        <v>0</v>
      </c>
      <c r="K94">
        <v>2</v>
      </c>
      <c r="L94">
        <v>0.22</v>
      </c>
      <c r="M94" t="s">
        <v>0</v>
      </c>
    </row>
    <row r="95" spans="1:98">
      <c r="B95" t="s">
        <v>189</v>
      </c>
      <c r="E95" t="s">
        <v>190</v>
      </c>
      <c r="H95" t="s">
        <v>191</v>
      </c>
      <c r="K95" t="s">
        <v>192</v>
      </c>
    </row>
    <row r="96" spans="1:98">
      <c r="B96">
        <v>21.83</v>
      </c>
      <c r="C96">
        <v>0.17</v>
      </c>
      <c r="D96" t="s">
        <v>0</v>
      </c>
      <c r="E96">
        <v>20.68</v>
      </c>
      <c r="F96">
        <v>1.01</v>
      </c>
      <c r="G96" t="s">
        <v>86</v>
      </c>
      <c r="H96">
        <v>19.5</v>
      </c>
      <c r="I96">
        <v>0.14000000000000001</v>
      </c>
      <c r="J96" t="s">
        <v>1</v>
      </c>
      <c r="K96">
        <v>18.75</v>
      </c>
      <c r="L96">
        <v>0.78</v>
      </c>
      <c r="M96" t="s">
        <v>3</v>
      </c>
    </row>
    <row r="97" spans="2:13">
      <c r="B97">
        <v>76.150000000000006</v>
      </c>
      <c r="C97">
        <v>0.31</v>
      </c>
      <c r="D97" t="s">
        <v>167</v>
      </c>
      <c r="E97">
        <v>77.13</v>
      </c>
      <c r="F97">
        <v>1.2</v>
      </c>
      <c r="G97" t="s">
        <v>3</v>
      </c>
      <c r="H97">
        <v>78.33</v>
      </c>
      <c r="I97">
        <v>0.05</v>
      </c>
      <c r="J97" t="s">
        <v>1</v>
      </c>
      <c r="K97">
        <v>79.180000000000007</v>
      </c>
      <c r="L97">
        <v>0.96</v>
      </c>
      <c r="M97" t="s">
        <v>86</v>
      </c>
    </row>
    <row r="98" spans="2:13">
      <c r="B98">
        <v>2.0499999999999998</v>
      </c>
      <c r="C98">
        <v>0.17</v>
      </c>
      <c r="D98" t="s">
        <v>0</v>
      </c>
      <c r="E98">
        <v>2.2799999999999998</v>
      </c>
      <c r="F98">
        <v>0.17</v>
      </c>
      <c r="G98" t="s">
        <v>0</v>
      </c>
      <c r="H98">
        <v>2.2000000000000002</v>
      </c>
      <c r="I98">
        <v>0.18</v>
      </c>
      <c r="J98" t="s">
        <v>0</v>
      </c>
      <c r="K98">
        <v>2.08</v>
      </c>
      <c r="L98">
        <v>0.19</v>
      </c>
      <c r="M98" t="s">
        <v>0</v>
      </c>
    </row>
    <row r="99" spans="2:13">
      <c r="B99" t="s">
        <v>161</v>
      </c>
      <c r="E99" t="s">
        <v>164</v>
      </c>
      <c r="H99" t="s">
        <v>163</v>
      </c>
      <c r="K99" t="s">
        <v>165</v>
      </c>
    </row>
    <row r="100" spans="2:13">
      <c r="B100">
        <v>21.83</v>
      </c>
      <c r="C100">
        <v>0.17</v>
      </c>
      <c r="D100" t="s">
        <v>0</v>
      </c>
      <c r="E100">
        <v>19.53</v>
      </c>
      <c r="F100">
        <v>0.05</v>
      </c>
      <c r="G100" t="s">
        <v>1</v>
      </c>
      <c r="H100">
        <v>18.829999999999998</v>
      </c>
      <c r="I100">
        <v>1.02</v>
      </c>
      <c r="J100" t="s">
        <v>3</v>
      </c>
      <c r="K100">
        <v>17.829999999999998</v>
      </c>
      <c r="L100">
        <v>0.55000000000000004</v>
      </c>
      <c r="M100" t="s">
        <v>167</v>
      </c>
    </row>
    <row r="101" spans="2:13">
      <c r="B101">
        <v>76.150000000000006</v>
      </c>
      <c r="C101">
        <v>0.31</v>
      </c>
      <c r="D101" t="s">
        <v>167</v>
      </c>
      <c r="E101">
        <v>78.48</v>
      </c>
      <c r="F101">
        <v>0.17</v>
      </c>
      <c r="G101" t="s">
        <v>1</v>
      </c>
      <c r="H101">
        <v>79.2</v>
      </c>
      <c r="I101">
        <v>0.99</v>
      </c>
      <c r="J101" t="s">
        <v>86</v>
      </c>
      <c r="K101">
        <v>80.27</v>
      </c>
      <c r="L101">
        <v>0.64</v>
      </c>
      <c r="M101" t="s">
        <v>0</v>
      </c>
    </row>
    <row r="102" spans="2:13">
      <c r="B102">
        <v>2.0499999999999998</v>
      </c>
      <c r="C102">
        <v>0.17</v>
      </c>
      <c r="D102" t="s">
        <v>0</v>
      </c>
      <c r="E102">
        <v>2</v>
      </c>
      <c r="F102">
        <v>0.14000000000000001</v>
      </c>
      <c r="G102" t="s">
        <v>0</v>
      </c>
      <c r="H102">
        <v>2</v>
      </c>
      <c r="I102">
        <v>0.27</v>
      </c>
      <c r="J102" t="s">
        <v>0</v>
      </c>
      <c r="K102">
        <v>1.83</v>
      </c>
      <c r="L102">
        <v>0.15</v>
      </c>
      <c r="M102" t="s">
        <v>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1" r:id="rId4" name="CommandButton1">
          <controlPr defaultSize="0" print="0" autoLine="0" r:id="rId5">
            <anchor moveWithCells="1">
              <from>
                <xdr:col>0</xdr:col>
                <xdr:colOff>0</xdr:colOff>
                <xdr:row>13</xdr:row>
                <xdr:rowOff>99060</xdr:rowOff>
              </from>
              <to>
                <xdr:col>1</xdr:col>
                <xdr:colOff>205740</xdr:colOff>
                <xdr:row>15</xdr:row>
                <xdr:rowOff>152400</xdr:rowOff>
              </to>
            </anchor>
          </controlPr>
        </control>
      </mc:Choice>
      <mc:Fallback>
        <control shapeId="1229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/>
  <dimension ref="A1:C3"/>
  <sheetViews>
    <sheetView workbookViewId="0">
      <selection activeCell="C4" sqref="C4"/>
    </sheetView>
  </sheetViews>
  <sheetFormatPr defaultRowHeight="13.8"/>
  <cols>
    <col min="1" max="16384" width="8.88671875" style="2"/>
  </cols>
  <sheetData>
    <row r="1" spans="1:3">
      <c r="B1" s="16" t="s">
        <v>77</v>
      </c>
      <c r="C1" s="16" t="s">
        <v>79</v>
      </c>
    </row>
    <row r="2" spans="1:3" ht="13.8" customHeight="1">
      <c r="A2" s="16" t="s">
        <v>76</v>
      </c>
      <c r="B2" s="2">
        <v>123</v>
      </c>
      <c r="C2" s="16">
        <v>432</v>
      </c>
    </row>
    <row r="3" spans="1:3">
      <c r="A3" s="16" t="s">
        <v>78</v>
      </c>
      <c r="B3" s="2">
        <v>321</v>
      </c>
      <c r="C3" s="2">
        <v>432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2BF7-06E0-40AB-8C3B-590F017C8A37}">
  <sheetPr codeName="Sheet9"/>
  <dimension ref="A1:Q35"/>
  <sheetViews>
    <sheetView topLeftCell="A7" workbookViewId="0">
      <selection activeCell="L25" sqref="L25"/>
    </sheetView>
  </sheetViews>
  <sheetFormatPr defaultRowHeight="13.8"/>
  <cols>
    <col min="5" max="10" width="11.77734375" customWidth="1"/>
  </cols>
  <sheetData>
    <row r="1" spans="1:17" ht="16.8" thickBot="1">
      <c r="A1" t="s">
        <v>75</v>
      </c>
      <c r="J1" s="11" t="s">
        <v>73</v>
      </c>
      <c r="K1" s="11" t="s">
        <v>74</v>
      </c>
      <c r="L1" s="12" t="s">
        <v>12</v>
      </c>
      <c r="M1" s="13" t="s">
        <v>14</v>
      </c>
      <c r="N1" s="14" t="s">
        <v>13</v>
      </c>
      <c r="O1" s="13" t="s">
        <v>15</v>
      </c>
      <c r="P1" s="13" t="s">
        <v>16</v>
      </c>
      <c r="Q1" s="13" t="s">
        <v>17</v>
      </c>
    </row>
    <row r="2" spans="1:17">
      <c r="C2" s="7" t="s">
        <v>48</v>
      </c>
      <c r="D2" s="7" t="s">
        <v>49</v>
      </c>
      <c r="E2" s="7" t="s">
        <v>50</v>
      </c>
      <c r="F2" s="7" t="s">
        <v>51</v>
      </c>
      <c r="G2" s="7" t="s">
        <v>52</v>
      </c>
      <c r="H2" s="7" t="s">
        <v>53</v>
      </c>
      <c r="I2" s="7" t="s">
        <v>54</v>
      </c>
      <c r="J2" s="8" t="s">
        <v>4</v>
      </c>
      <c r="K2" s="7" t="s">
        <v>5</v>
      </c>
      <c r="L2" s="7" t="s">
        <v>6</v>
      </c>
      <c r="M2" t="s">
        <v>8</v>
      </c>
      <c r="N2" t="s">
        <v>7</v>
      </c>
      <c r="O2" t="s">
        <v>9</v>
      </c>
      <c r="P2" t="s">
        <v>10</v>
      </c>
      <c r="Q2" t="s">
        <v>11</v>
      </c>
    </row>
    <row r="3" spans="1:17">
      <c r="C3" s="7" t="s">
        <v>2</v>
      </c>
      <c r="D3" s="7" t="s">
        <v>55</v>
      </c>
      <c r="E3" s="7" t="s">
        <v>56</v>
      </c>
      <c r="F3" s="7" t="s">
        <v>55</v>
      </c>
      <c r="G3" s="7" t="s">
        <v>55</v>
      </c>
      <c r="H3" s="7" t="s">
        <v>55</v>
      </c>
      <c r="I3" s="7" t="s">
        <v>56</v>
      </c>
      <c r="J3" s="8" t="s">
        <v>2</v>
      </c>
      <c r="K3" s="7" t="s">
        <v>2</v>
      </c>
      <c r="L3" s="7" t="s">
        <v>55</v>
      </c>
    </row>
    <row r="4" spans="1:17">
      <c r="C4" s="7" t="s">
        <v>48</v>
      </c>
      <c r="D4" s="7" t="s">
        <v>57</v>
      </c>
      <c r="E4" s="7" t="s">
        <v>58</v>
      </c>
      <c r="F4" s="7" t="s">
        <v>59</v>
      </c>
      <c r="G4" s="7" t="s">
        <v>60</v>
      </c>
      <c r="H4" s="7" t="s">
        <v>61</v>
      </c>
      <c r="I4" s="7" t="s">
        <v>62</v>
      </c>
      <c r="J4" s="8" t="s">
        <v>63</v>
      </c>
      <c r="K4" s="7" t="s">
        <v>64</v>
      </c>
      <c r="L4" s="7" t="s">
        <v>65</v>
      </c>
      <c r="M4" s="5" t="s">
        <v>66</v>
      </c>
      <c r="N4" t="s">
        <v>67</v>
      </c>
      <c r="O4" t="s">
        <v>68</v>
      </c>
      <c r="P4" t="s">
        <v>69</v>
      </c>
      <c r="Q4" t="s">
        <v>70</v>
      </c>
    </row>
    <row r="5" spans="1:17">
      <c r="A5" t="s">
        <v>18</v>
      </c>
      <c r="C5" s="15">
        <v>5561.1469999999999</v>
      </c>
      <c r="D5" s="15">
        <v>38529.167000000001</v>
      </c>
      <c r="E5" s="15">
        <v>12.734999999999999</v>
      </c>
      <c r="F5" s="15">
        <v>49151.106</v>
      </c>
      <c r="G5" s="15">
        <v>10621.939</v>
      </c>
      <c r="H5" s="15">
        <v>31526.821</v>
      </c>
      <c r="I5" s="15">
        <v>10.63</v>
      </c>
      <c r="J5" s="15">
        <v>6200.0550000000003</v>
      </c>
      <c r="K5" s="15"/>
      <c r="L5" s="15">
        <v>-0.92300000000000004</v>
      </c>
      <c r="M5" s="15">
        <v>0.83499999999999996</v>
      </c>
      <c r="N5" s="15">
        <v>0.64100000000000001</v>
      </c>
      <c r="O5" s="15">
        <v>3976.8789999999999</v>
      </c>
      <c r="P5" s="15">
        <v>3319.5309999999999</v>
      </c>
      <c r="Q5" s="15">
        <v>0.27600000000000002</v>
      </c>
    </row>
    <row r="6" spans="1:17">
      <c r="A6" t="s">
        <v>19</v>
      </c>
      <c r="C6" s="15">
        <v>5301.5450000000001</v>
      </c>
      <c r="D6" s="15">
        <v>36894.061000000002</v>
      </c>
      <c r="E6" s="15">
        <v>12.885</v>
      </c>
      <c r="F6" s="15">
        <v>46763.095000000001</v>
      </c>
      <c r="G6" s="15">
        <v>9869.0339999999997</v>
      </c>
      <c r="H6" s="15">
        <v>30178.132000000001</v>
      </c>
      <c r="I6" s="15">
        <v>10.79</v>
      </c>
      <c r="J6" s="15">
        <v>5959.47</v>
      </c>
      <c r="K6" s="15"/>
      <c r="L6" s="15">
        <v>-1.3720000000000001</v>
      </c>
      <c r="M6" s="15">
        <v>0.83699999999999997</v>
      </c>
      <c r="N6" s="15">
        <v>0.64500000000000002</v>
      </c>
      <c r="O6" s="15">
        <v>3845.8890000000001</v>
      </c>
      <c r="P6" s="15">
        <v>3220.578</v>
      </c>
      <c r="Q6" s="15">
        <v>0.26700000000000002</v>
      </c>
    </row>
    <row r="7" spans="1:17">
      <c r="A7" t="s">
        <v>20</v>
      </c>
      <c r="C7" s="15">
        <v>5087.1949999999997</v>
      </c>
      <c r="D7" s="15">
        <v>29225.137999999999</v>
      </c>
      <c r="E7" s="15">
        <v>12.404999999999999</v>
      </c>
      <c r="F7" s="15">
        <v>37606.720999999998</v>
      </c>
      <c r="G7" s="15">
        <v>8381.5820000000003</v>
      </c>
      <c r="H7" s="15">
        <v>27517.025000000001</v>
      </c>
      <c r="I7" s="15">
        <v>11.11</v>
      </c>
      <c r="J7" s="15">
        <v>5492.17</v>
      </c>
      <c r="K7" s="15"/>
      <c r="L7" s="15">
        <v>-0.874</v>
      </c>
      <c r="M7" s="15">
        <v>0.89600000000000002</v>
      </c>
      <c r="N7" s="15">
        <v>0.73199999999999998</v>
      </c>
      <c r="O7" s="15">
        <v>4018.6480000000001</v>
      </c>
      <c r="P7" s="15">
        <v>3599.1280000000002</v>
      </c>
      <c r="Q7" s="15">
        <v>0.28699999999999998</v>
      </c>
    </row>
    <row r="8" spans="1:17">
      <c r="A8" t="s">
        <v>21</v>
      </c>
      <c r="C8" s="15">
        <v>2752.2040000000002</v>
      </c>
      <c r="D8" s="15">
        <v>18600.454000000002</v>
      </c>
      <c r="E8" s="15">
        <v>12.31</v>
      </c>
      <c r="F8" s="15">
        <v>25432.196</v>
      </c>
      <c r="G8" s="15">
        <v>6831.7420000000002</v>
      </c>
      <c r="H8" s="15">
        <v>18409.330999999998</v>
      </c>
      <c r="I8" s="15">
        <v>11.12</v>
      </c>
      <c r="J8" s="15">
        <v>2982.498</v>
      </c>
      <c r="K8" s="15"/>
      <c r="L8" s="15">
        <v>-0.88600000000000001</v>
      </c>
      <c r="M8" s="15">
        <v>0.90300000000000002</v>
      </c>
      <c r="N8" s="15">
        <v>0.72399999999999998</v>
      </c>
      <c r="O8" s="15">
        <v>2158.9090000000001</v>
      </c>
      <c r="P8" s="15">
        <v>1950.2080000000001</v>
      </c>
      <c r="Q8" s="15">
        <v>0.36699999999999999</v>
      </c>
    </row>
    <row r="9" spans="1:17">
      <c r="A9" t="s">
        <v>22</v>
      </c>
      <c r="C9" s="15">
        <v>2850.8380000000002</v>
      </c>
      <c r="D9" s="15">
        <v>19570.944</v>
      </c>
      <c r="E9" s="15">
        <v>12.265000000000001</v>
      </c>
      <c r="F9" s="15">
        <v>26779.362000000001</v>
      </c>
      <c r="G9" s="15">
        <v>7208.4179999999997</v>
      </c>
      <c r="H9" s="15">
        <v>19466.574000000001</v>
      </c>
      <c r="I9" s="15">
        <v>11.055</v>
      </c>
      <c r="J9" s="15">
        <v>3092.654</v>
      </c>
      <c r="K9" s="15"/>
      <c r="L9" s="15">
        <v>-0.79100000000000004</v>
      </c>
      <c r="M9" s="15">
        <v>0.90100000000000002</v>
      </c>
      <c r="N9" s="15">
        <v>0.72699999999999998</v>
      </c>
      <c r="O9" s="15">
        <v>2248.1260000000002</v>
      </c>
      <c r="P9" s="15">
        <v>2026.338</v>
      </c>
      <c r="Q9" s="15">
        <v>0.36799999999999999</v>
      </c>
    </row>
    <row r="10" spans="1:17">
      <c r="A10" t="s">
        <v>23</v>
      </c>
      <c r="C10" s="15">
        <v>2751.2640000000001</v>
      </c>
      <c r="D10" s="15">
        <v>16005.253000000001</v>
      </c>
      <c r="E10" s="15">
        <v>11.885</v>
      </c>
      <c r="F10" s="15">
        <v>21864.851999999999</v>
      </c>
      <c r="G10" s="15">
        <v>5859.598</v>
      </c>
      <c r="H10" s="15">
        <v>16838.082999999999</v>
      </c>
      <c r="I10" s="15">
        <v>10.73</v>
      </c>
      <c r="J10" s="15">
        <v>2941.1959999999999</v>
      </c>
      <c r="K10" s="15"/>
      <c r="L10" s="15">
        <v>-0.93</v>
      </c>
      <c r="M10" s="15">
        <v>0.90300000000000002</v>
      </c>
      <c r="N10" s="15">
        <v>0.77</v>
      </c>
      <c r="O10" s="15">
        <v>2265.009</v>
      </c>
      <c r="P10" s="15">
        <v>2044.893</v>
      </c>
      <c r="Q10" s="15">
        <v>0.36599999999999999</v>
      </c>
    </row>
    <row r="11" spans="1:17">
      <c r="A11" t="s">
        <v>24</v>
      </c>
      <c r="C11" s="15">
        <v>4448.0820000000003</v>
      </c>
      <c r="D11" s="15">
        <v>29704.393</v>
      </c>
      <c r="E11" s="15">
        <v>12.225</v>
      </c>
      <c r="F11" s="15">
        <v>40410.307000000001</v>
      </c>
      <c r="G11" s="15">
        <v>10705.914000000001</v>
      </c>
      <c r="H11" s="15">
        <v>29197.722000000002</v>
      </c>
      <c r="I11" s="15">
        <v>11.33</v>
      </c>
      <c r="J11" s="15">
        <v>4799.326</v>
      </c>
      <c r="K11" s="15"/>
      <c r="L11" s="15">
        <v>-1.6220000000000001</v>
      </c>
      <c r="M11" s="15">
        <v>0.92700000000000005</v>
      </c>
      <c r="N11" s="15">
        <v>0.72299999999999998</v>
      </c>
      <c r="O11" s="15">
        <v>3467.665</v>
      </c>
      <c r="P11" s="15">
        <v>3213.7950000000001</v>
      </c>
      <c r="Q11" s="15">
        <v>0.36</v>
      </c>
    </row>
    <row r="12" spans="1:17">
      <c r="A12" t="s">
        <v>25</v>
      </c>
      <c r="C12" s="15">
        <v>3372.027</v>
      </c>
      <c r="D12" s="15">
        <v>20278.731</v>
      </c>
      <c r="E12" s="15">
        <v>13.315</v>
      </c>
      <c r="F12" s="15">
        <v>28613.123</v>
      </c>
      <c r="G12" s="15">
        <v>8334.393</v>
      </c>
      <c r="H12" s="15">
        <v>21786.350999999999</v>
      </c>
      <c r="I12" s="15">
        <v>10.414999999999999</v>
      </c>
      <c r="J12" s="15">
        <v>3628.2710000000002</v>
      </c>
      <c r="K12" s="15"/>
      <c r="L12" s="15">
        <v>-1.2150000000000001</v>
      </c>
      <c r="M12" s="15">
        <v>0.78200000000000003</v>
      </c>
      <c r="N12" s="15">
        <v>0.76100000000000001</v>
      </c>
      <c r="O12" s="15">
        <v>2762.6060000000002</v>
      </c>
      <c r="P12" s="15">
        <v>2160.9119999999998</v>
      </c>
      <c r="Q12" s="15">
        <v>0.41099999999999998</v>
      </c>
    </row>
    <row r="13" spans="1:17">
      <c r="A13" t="s">
        <v>26</v>
      </c>
      <c r="C13" s="15">
        <v>3680.288</v>
      </c>
      <c r="D13" s="15">
        <v>20150.281999999999</v>
      </c>
      <c r="E13" s="15">
        <v>12.404999999999999</v>
      </c>
      <c r="F13" s="15">
        <v>28107.96</v>
      </c>
      <c r="G13" s="15">
        <v>7957.6779999999999</v>
      </c>
      <c r="H13" s="15">
        <v>22962.166000000001</v>
      </c>
      <c r="I13" s="15">
        <v>11.35</v>
      </c>
      <c r="J13" s="15">
        <v>3848.625</v>
      </c>
      <c r="K13" s="15"/>
      <c r="L13" s="15">
        <v>-1.022</v>
      </c>
      <c r="M13" s="15">
        <v>0.91500000000000004</v>
      </c>
      <c r="N13" s="15">
        <v>0.81699999999999995</v>
      </c>
      <c r="O13" s="15">
        <v>3144.047</v>
      </c>
      <c r="P13" s="15">
        <v>2876.6579999999999</v>
      </c>
      <c r="Q13" s="15">
        <v>0.39500000000000002</v>
      </c>
    </row>
    <row r="14" spans="1:17">
      <c r="A14" t="s">
        <v>27</v>
      </c>
    </row>
    <row r="15" spans="1:17">
      <c r="A15" t="s">
        <v>28</v>
      </c>
    </row>
    <row r="16" spans="1:17">
      <c r="A16" t="s">
        <v>29</v>
      </c>
    </row>
    <row r="17" spans="1:17">
      <c r="A17" t="s">
        <v>30</v>
      </c>
    </row>
    <row r="18" spans="1:17">
      <c r="A18" t="s">
        <v>31</v>
      </c>
    </row>
    <row r="19" spans="1:17">
      <c r="A19" t="s">
        <v>47</v>
      </c>
    </row>
    <row r="20" spans="1:17">
      <c r="C20" s="9" t="s">
        <v>71</v>
      </c>
      <c r="D20" s="9" t="s">
        <v>72</v>
      </c>
      <c r="E20" s="9" t="s">
        <v>56</v>
      </c>
      <c r="F20" s="9" t="s">
        <v>72</v>
      </c>
      <c r="G20" s="9" t="s">
        <v>72</v>
      </c>
      <c r="H20" s="9" t="s">
        <v>72</v>
      </c>
      <c r="I20" s="9" t="s">
        <v>56</v>
      </c>
      <c r="J20" s="10" t="s">
        <v>71</v>
      </c>
      <c r="K20" s="9" t="s">
        <v>71</v>
      </c>
      <c r="L20" s="9" t="s">
        <v>72</v>
      </c>
    </row>
    <row r="21" spans="1:17">
      <c r="A21" t="s">
        <v>32</v>
      </c>
      <c r="C21">
        <f>ROUND(C5*0.0098,3)</f>
        <v>54.499000000000002</v>
      </c>
      <c r="D21">
        <f>ROUND(D5*0.0098,30)</f>
        <v>377.58583659999999</v>
      </c>
      <c r="E21">
        <f>E5</f>
        <v>12.734999999999999</v>
      </c>
      <c r="F21">
        <f>ROUND(F5*0.0098,3)</f>
        <v>481.68099999999998</v>
      </c>
      <c r="G21">
        <f>ROUND(G5*0.0098,3)</f>
        <v>104.095</v>
      </c>
      <c r="H21">
        <f>ROUND(H5*0.0098,3)</f>
        <v>308.96300000000002</v>
      </c>
      <c r="I21">
        <f>I5</f>
        <v>10.63</v>
      </c>
      <c r="J21" s="6">
        <f>ROUND(J5*0.0098,3)</f>
        <v>60.761000000000003</v>
      </c>
      <c r="L21">
        <f>-ROUND(L5*0.0098,3)</f>
        <v>8.9999999999999993E-3</v>
      </c>
      <c r="M21">
        <f>ROUND(I21/E21,3)</f>
        <v>0.83499999999999996</v>
      </c>
      <c r="N21">
        <f>ROUND(H21/F21,3)</f>
        <v>0.64100000000000001</v>
      </c>
      <c r="O21">
        <f>ROUND(J21*N21,3)</f>
        <v>38.948</v>
      </c>
      <c r="P21">
        <f>ROUND(O21*M21,3)</f>
        <v>32.521999999999998</v>
      </c>
      <c r="Q21">
        <f>ROUND(G21/D21,3)</f>
        <v>0.27600000000000002</v>
      </c>
    </row>
    <row r="22" spans="1:17">
      <c r="A22" t="s">
        <v>33</v>
      </c>
      <c r="C22">
        <f t="shared" ref="C22:C35" si="0">ROUND(C6*0.0098,3)</f>
        <v>51.954999999999998</v>
      </c>
      <c r="D22">
        <f t="shared" ref="D22:D35" si="1">ROUND(D6*0.0098,30)</f>
        <v>361.56179780000002</v>
      </c>
      <c r="E22">
        <f t="shared" ref="E22:E35" si="2">E6</f>
        <v>12.885</v>
      </c>
      <c r="F22">
        <f t="shared" ref="F22:H22" si="3">ROUND(F6*0.0098,3)</f>
        <v>458.27800000000002</v>
      </c>
      <c r="G22">
        <f t="shared" si="3"/>
        <v>96.716999999999999</v>
      </c>
      <c r="H22">
        <f t="shared" si="3"/>
        <v>295.74599999999998</v>
      </c>
      <c r="I22">
        <f t="shared" ref="I22:I35" si="4">I6</f>
        <v>10.79</v>
      </c>
      <c r="J22" s="6">
        <f t="shared" ref="J22:J35" si="5">ROUND(J6*0.0098,3)</f>
        <v>58.402999999999999</v>
      </c>
      <c r="L22">
        <f t="shared" ref="L22:L28" si="6">-ROUND(L6*0.0098,3)</f>
        <v>1.2999999999999999E-2</v>
      </c>
      <c r="M22">
        <f t="shared" ref="M22:M35" si="7">ROUND(I22/E22,3)</f>
        <v>0.83699999999999997</v>
      </c>
      <c r="N22">
        <f t="shared" ref="N22:N35" si="8">ROUND(H22/F22,3)</f>
        <v>0.64500000000000002</v>
      </c>
      <c r="O22">
        <f t="shared" ref="O22:O35" si="9">ROUND(J22*N22,3)</f>
        <v>37.67</v>
      </c>
      <c r="P22">
        <f t="shared" ref="P22:P35" si="10">ROUND(O22*M22,3)</f>
        <v>31.53</v>
      </c>
      <c r="Q22">
        <f t="shared" ref="Q22:Q35" si="11">ROUND(G22/D22,3)</f>
        <v>0.26700000000000002</v>
      </c>
    </row>
    <row r="23" spans="1:17">
      <c r="A23" t="s">
        <v>34</v>
      </c>
      <c r="C23">
        <f t="shared" si="0"/>
        <v>49.854999999999997</v>
      </c>
      <c r="D23">
        <f t="shared" si="1"/>
        <v>286.4063524</v>
      </c>
      <c r="E23">
        <f t="shared" si="2"/>
        <v>12.404999999999999</v>
      </c>
      <c r="F23">
        <f t="shared" ref="F23:H23" si="12">ROUND(F7*0.0098,3)</f>
        <v>368.54599999999999</v>
      </c>
      <c r="G23">
        <f t="shared" si="12"/>
        <v>82.14</v>
      </c>
      <c r="H23">
        <f t="shared" si="12"/>
        <v>269.66699999999997</v>
      </c>
      <c r="I23">
        <f t="shared" si="4"/>
        <v>11.11</v>
      </c>
      <c r="J23" s="6">
        <f t="shared" si="5"/>
        <v>53.823</v>
      </c>
      <c r="L23">
        <f t="shared" si="6"/>
        <v>8.9999999999999993E-3</v>
      </c>
      <c r="M23">
        <f t="shared" si="7"/>
        <v>0.89600000000000002</v>
      </c>
      <c r="N23">
        <f t="shared" si="8"/>
        <v>0.73199999999999998</v>
      </c>
      <c r="O23">
        <f t="shared" si="9"/>
        <v>39.398000000000003</v>
      </c>
      <c r="P23">
        <f t="shared" si="10"/>
        <v>35.301000000000002</v>
      </c>
      <c r="Q23">
        <f t="shared" si="11"/>
        <v>0.28699999999999998</v>
      </c>
    </row>
    <row r="24" spans="1:17">
      <c r="A24" t="s">
        <v>35</v>
      </c>
      <c r="C24">
        <f t="shared" si="0"/>
        <v>26.972000000000001</v>
      </c>
      <c r="D24">
        <f t="shared" si="1"/>
        <v>182.28444920000001</v>
      </c>
      <c r="E24">
        <f t="shared" si="2"/>
        <v>12.31</v>
      </c>
      <c r="F24">
        <f t="shared" ref="F24:H24" si="13">ROUND(F8*0.0098,3)</f>
        <v>249.23599999999999</v>
      </c>
      <c r="G24">
        <f t="shared" si="13"/>
        <v>66.950999999999993</v>
      </c>
      <c r="H24">
        <f t="shared" si="13"/>
        <v>180.411</v>
      </c>
      <c r="I24">
        <f t="shared" si="4"/>
        <v>11.12</v>
      </c>
      <c r="J24" s="6">
        <f t="shared" si="5"/>
        <v>29.228000000000002</v>
      </c>
      <c r="L24">
        <f t="shared" si="6"/>
        <v>8.9999999999999993E-3</v>
      </c>
      <c r="M24">
        <f t="shared" si="7"/>
        <v>0.90300000000000002</v>
      </c>
      <c r="N24">
        <f t="shared" si="8"/>
        <v>0.72399999999999998</v>
      </c>
      <c r="O24">
        <f t="shared" si="9"/>
        <v>21.161000000000001</v>
      </c>
      <c r="P24">
        <f t="shared" si="10"/>
        <v>19.108000000000001</v>
      </c>
      <c r="Q24">
        <f t="shared" si="11"/>
        <v>0.36699999999999999</v>
      </c>
    </row>
    <row r="25" spans="1:17">
      <c r="A25" t="s">
        <v>36</v>
      </c>
      <c r="C25">
        <f t="shared" si="0"/>
        <v>27.937999999999999</v>
      </c>
      <c r="D25">
        <f t="shared" si="1"/>
        <v>191.7952512</v>
      </c>
      <c r="E25">
        <f t="shared" si="2"/>
        <v>12.265000000000001</v>
      </c>
      <c r="F25">
        <f t="shared" ref="F25:H25" si="14">ROUND(F9*0.0098,3)</f>
        <v>262.43799999999999</v>
      </c>
      <c r="G25">
        <f t="shared" si="14"/>
        <v>70.641999999999996</v>
      </c>
      <c r="H25">
        <f t="shared" si="14"/>
        <v>190.77199999999999</v>
      </c>
      <c r="I25">
        <f t="shared" si="4"/>
        <v>11.055</v>
      </c>
      <c r="J25" s="6">
        <f t="shared" si="5"/>
        <v>30.308</v>
      </c>
      <c r="L25">
        <f t="shared" si="6"/>
        <v>8.0000000000000002E-3</v>
      </c>
      <c r="M25">
        <f t="shared" si="7"/>
        <v>0.90100000000000002</v>
      </c>
      <c r="N25">
        <f t="shared" si="8"/>
        <v>0.72699999999999998</v>
      </c>
      <c r="O25">
        <f t="shared" si="9"/>
        <v>22.033999999999999</v>
      </c>
      <c r="P25">
        <f t="shared" si="10"/>
        <v>19.853000000000002</v>
      </c>
      <c r="Q25">
        <f t="shared" si="11"/>
        <v>0.36799999999999999</v>
      </c>
    </row>
    <row r="26" spans="1:17">
      <c r="A26" t="s">
        <v>37</v>
      </c>
      <c r="C26">
        <f t="shared" si="0"/>
        <v>26.962</v>
      </c>
      <c r="D26">
        <f t="shared" si="1"/>
        <v>156.85147939999999</v>
      </c>
      <c r="E26">
        <f t="shared" si="2"/>
        <v>11.885</v>
      </c>
      <c r="F26">
        <f t="shared" ref="F26:H26" si="15">ROUND(F10*0.0098,3)</f>
        <v>214.27600000000001</v>
      </c>
      <c r="G26">
        <f t="shared" si="15"/>
        <v>57.423999999999999</v>
      </c>
      <c r="H26">
        <f t="shared" si="15"/>
        <v>165.01300000000001</v>
      </c>
      <c r="I26">
        <f t="shared" si="4"/>
        <v>10.73</v>
      </c>
      <c r="J26" s="6">
        <f t="shared" si="5"/>
        <v>28.824000000000002</v>
      </c>
      <c r="L26">
        <f t="shared" si="6"/>
        <v>8.9999999999999993E-3</v>
      </c>
      <c r="M26">
        <f t="shared" si="7"/>
        <v>0.90300000000000002</v>
      </c>
      <c r="N26">
        <f t="shared" si="8"/>
        <v>0.77</v>
      </c>
      <c r="O26">
        <f t="shared" si="9"/>
        <v>22.193999999999999</v>
      </c>
      <c r="P26">
        <f t="shared" si="10"/>
        <v>20.041</v>
      </c>
      <c r="Q26">
        <f t="shared" si="11"/>
        <v>0.36599999999999999</v>
      </c>
    </row>
    <row r="27" spans="1:17">
      <c r="A27" t="s">
        <v>38</v>
      </c>
      <c r="C27">
        <f t="shared" si="0"/>
        <v>43.591000000000001</v>
      </c>
      <c r="D27">
        <f t="shared" si="1"/>
        <v>291.10305140000003</v>
      </c>
      <c r="E27">
        <f t="shared" si="2"/>
        <v>12.225</v>
      </c>
      <c r="F27">
        <f t="shared" ref="F27:H27" si="16">ROUND(F11*0.0098,3)</f>
        <v>396.02100000000002</v>
      </c>
      <c r="G27">
        <f t="shared" si="16"/>
        <v>104.91800000000001</v>
      </c>
      <c r="H27">
        <f t="shared" si="16"/>
        <v>286.13799999999998</v>
      </c>
      <c r="I27">
        <f t="shared" si="4"/>
        <v>11.33</v>
      </c>
      <c r="J27" s="6">
        <f t="shared" si="5"/>
        <v>47.033000000000001</v>
      </c>
      <c r="L27">
        <f t="shared" si="6"/>
        <v>1.6E-2</v>
      </c>
      <c r="M27">
        <f t="shared" si="7"/>
        <v>0.92700000000000005</v>
      </c>
      <c r="N27">
        <f t="shared" si="8"/>
        <v>0.72299999999999998</v>
      </c>
      <c r="O27">
        <f t="shared" si="9"/>
        <v>34.005000000000003</v>
      </c>
      <c r="P27">
        <f t="shared" si="10"/>
        <v>31.523</v>
      </c>
      <c r="Q27">
        <f t="shared" si="11"/>
        <v>0.36</v>
      </c>
    </row>
    <row r="28" spans="1:17">
      <c r="A28" t="s">
        <v>39</v>
      </c>
      <c r="C28">
        <f t="shared" si="0"/>
        <v>33.045999999999999</v>
      </c>
      <c r="D28">
        <f t="shared" si="1"/>
        <v>198.7315638</v>
      </c>
      <c r="E28">
        <f t="shared" si="2"/>
        <v>13.315</v>
      </c>
      <c r="F28">
        <f t="shared" ref="F28:H28" si="17">ROUND(F12*0.0098,3)</f>
        <v>280.40899999999999</v>
      </c>
      <c r="G28">
        <f t="shared" si="17"/>
        <v>81.677000000000007</v>
      </c>
      <c r="H28">
        <f t="shared" si="17"/>
        <v>213.506</v>
      </c>
      <c r="I28">
        <f t="shared" si="4"/>
        <v>10.414999999999999</v>
      </c>
      <c r="J28" s="6">
        <f t="shared" si="5"/>
        <v>35.557000000000002</v>
      </c>
      <c r="L28">
        <f t="shared" si="6"/>
        <v>1.2E-2</v>
      </c>
      <c r="M28">
        <f t="shared" si="7"/>
        <v>0.78200000000000003</v>
      </c>
      <c r="N28">
        <f t="shared" si="8"/>
        <v>0.76100000000000001</v>
      </c>
      <c r="O28">
        <f t="shared" si="9"/>
        <v>27.059000000000001</v>
      </c>
      <c r="P28">
        <f t="shared" si="10"/>
        <v>21.16</v>
      </c>
      <c r="Q28">
        <f t="shared" si="11"/>
        <v>0.41099999999999998</v>
      </c>
    </row>
    <row r="29" spans="1:17">
      <c r="A29" t="s">
        <v>40</v>
      </c>
      <c r="C29">
        <f>ROUND(C13*0.0098,3)</f>
        <v>36.067</v>
      </c>
      <c r="D29">
        <f>ROUND(D13*0.0098,30)</f>
        <v>197.47276360000001</v>
      </c>
      <c r="E29">
        <f>E13</f>
        <v>12.404999999999999</v>
      </c>
      <c r="F29">
        <f>ROUND(F13*0.0098,3)</f>
        <v>275.45800000000003</v>
      </c>
      <c r="G29">
        <f>ROUND(G13*0.0098,3)</f>
        <v>77.984999999999999</v>
      </c>
      <c r="H29">
        <f>ROUND(H13*0.0098,3)</f>
        <v>225.029</v>
      </c>
      <c r="I29">
        <f>I13</f>
        <v>11.35</v>
      </c>
      <c r="J29" s="6">
        <f t="shared" si="5"/>
        <v>37.716999999999999</v>
      </c>
      <c r="L29">
        <f t="shared" ref="L29:L35" si="18">ROUND(L13*0.0098,3)</f>
        <v>-0.01</v>
      </c>
      <c r="M29">
        <f t="shared" si="7"/>
        <v>0.91500000000000004</v>
      </c>
      <c r="N29">
        <f t="shared" si="8"/>
        <v>0.81699999999999995</v>
      </c>
      <c r="O29">
        <f t="shared" si="9"/>
        <v>30.815000000000001</v>
      </c>
      <c r="P29">
        <f t="shared" si="10"/>
        <v>28.196000000000002</v>
      </c>
      <c r="Q29">
        <f t="shared" si="11"/>
        <v>0.39500000000000002</v>
      </c>
    </row>
    <row r="30" spans="1:17">
      <c r="A30" t="s">
        <v>41</v>
      </c>
      <c r="C30">
        <f t="shared" si="0"/>
        <v>0</v>
      </c>
      <c r="D30">
        <f t="shared" si="1"/>
        <v>0</v>
      </c>
      <c r="E30">
        <f t="shared" si="2"/>
        <v>0</v>
      </c>
      <c r="F30">
        <f t="shared" ref="F30:H30" si="19">ROUND(F14*0.0098,3)</f>
        <v>0</v>
      </c>
      <c r="G30">
        <f t="shared" si="19"/>
        <v>0</v>
      </c>
      <c r="H30">
        <f t="shared" si="19"/>
        <v>0</v>
      </c>
      <c r="I30">
        <f t="shared" si="4"/>
        <v>0</v>
      </c>
      <c r="J30" s="6">
        <f t="shared" si="5"/>
        <v>0</v>
      </c>
      <c r="L30">
        <f t="shared" si="18"/>
        <v>0</v>
      </c>
      <c r="M30" t="e">
        <f t="shared" si="7"/>
        <v>#DIV/0!</v>
      </c>
      <c r="N30" t="e">
        <f t="shared" si="8"/>
        <v>#DIV/0!</v>
      </c>
      <c r="O30" t="e">
        <f t="shared" si="9"/>
        <v>#DIV/0!</v>
      </c>
      <c r="P30" t="e">
        <f t="shared" si="10"/>
        <v>#DIV/0!</v>
      </c>
      <c r="Q30" t="e">
        <f t="shared" si="11"/>
        <v>#DIV/0!</v>
      </c>
    </row>
    <row r="31" spans="1:17">
      <c r="A31" t="s">
        <v>42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ref="F31:H31" si="20">ROUND(F15*0.0098,3)</f>
        <v>0</v>
      </c>
      <c r="G31">
        <f t="shared" si="20"/>
        <v>0</v>
      </c>
      <c r="H31">
        <f t="shared" si="20"/>
        <v>0</v>
      </c>
      <c r="I31">
        <f t="shared" si="4"/>
        <v>0</v>
      </c>
      <c r="J31" s="6">
        <f t="shared" si="5"/>
        <v>0</v>
      </c>
      <c r="L31">
        <f t="shared" si="18"/>
        <v>0</v>
      </c>
      <c r="M31" t="e">
        <f t="shared" si="7"/>
        <v>#DIV/0!</v>
      </c>
      <c r="N31" t="e">
        <f t="shared" si="8"/>
        <v>#DIV/0!</v>
      </c>
      <c r="O31" t="e">
        <f t="shared" si="9"/>
        <v>#DIV/0!</v>
      </c>
      <c r="P31" t="e">
        <f t="shared" si="10"/>
        <v>#DIV/0!</v>
      </c>
      <c r="Q31" t="e">
        <f t="shared" si="11"/>
        <v>#DIV/0!</v>
      </c>
    </row>
    <row r="32" spans="1:17">
      <c r="A32" t="s">
        <v>43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ref="F32:H32" si="21">ROUND(F16*0.0098,3)</f>
        <v>0</v>
      </c>
      <c r="G32">
        <f t="shared" si="21"/>
        <v>0</v>
      </c>
      <c r="H32">
        <f t="shared" si="21"/>
        <v>0</v>
      </c>
      <c r="I32">
        <f t="shared" si="4"/>
        <v>0</v>
      </c>
      <c r="J32" s="6">
        <f t="shared" si="5"/>
        <v>0</v>
      </c>
      <c r="L32">
        <f t="shared" si="18"/>
        <v>0</v>
      </c>
      <c r="M32" t="e">
        <f t="shared" si="7"/>
        <v>#DIV/0!</v>
      </c>
      <c r="N32" t="e">
        <f t="shared" si="8"/>
        <v>#DIV/0!</v>
      </c>
      <c r="O32" t="e">
        <f t="shared" si="9"/>
        <v>#DIV/0!</v>
      </c>
      <c r="P32" t="e">
        <f t="shared" si="10"/>
        <v>#DIV/0!</v>
      </c>
      <c r="Q32" t="e">
        <f t="shared" si="11"/>
        <v>#DIV/0!</v>
      </c>
    </row>
    <row r="33" spans="1:17">
      <c r="A33" t="s">
        <v>44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ref="F33:H33" si="22">ROUND(F17*0.0098,3)</f>
        <v>0</v>
      </c>
      <c r="G33">
        <f t="shared" si="22"/>
        <v>0</v>
      </c>
      <c r="H33">
        <f t="shared" si="22"/>
        <v>0</v>
      </c>
      <c r="I33">
        <f t="shared" si="4"/>
        <v>0</v>
      </c>
      <c r="J33" s="6">
        <f t="shared" si="5"/>
        <v>0</v>
      </c>
      <c r="L33">
        <f t="shared" si="18"/>
        <v>0</v>
      </c>
      <c r="M33" t="e">
        <f t="shared" si="7"/>
        <v>#DIV/0!</v>
      </c>
      <c r="N33" t="e">
        <f t="shared" si="8"/>
        <v>#DIV/0!</v>
      </c>
      <c r="O33" t="e">
        <f t="shared" si="9"/>
        <v>#DIV/0!</v>
      </c>
      <c r="P33" t="e">
        <f t="shared" si="10"/>
        <v>#DIV/0!</v>
      </c>
      <c r="Q33" t="e">
        <f t="shared" si="11"/>
        <v>#DIV/0!</v>
      </c>
    </row>
    <row r="34" spans="1:17">
      <c r="A34" t="s">
        <v>45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ref="F34:H34" si="23">ROUND(F18*0.0098,3)</f>
        <v>0</v>
      </c>
      <c r="G34">
        <f t="shared" si="23"/>
        <v>0</v>
      </c>
      <c r="H34">
        <f t="shared" si="23"/>
        <v>0</v>
      </c>
      <c r="I34">
        <f t="shared" si="4"/>
        <v>0</v>
      </c>
      <c r="J34" s="6">
        <f t="shared" si="5"/>
        <v>0</v>
      </c>
      <c r="L34">
        <f t="shared" si="18"/>
        <v>0</v>
      </c>
      <c r="M34" t="e">
        <f t="shared" si="7"/>
        <v>#DIV/0!</v>
      </c>
      <c r="N34" t="e">
        <f t="shared" si="8"/>
        <v>#DIV/0!</v>
      </c>
      <c r="O34" t="e">
        <f t="shared" si="9"/>
        <v>#DIV/0!</v>
      </c>
      <c r="P34" t="e">
        <f t="shared" si="10"/>
        <v>#DIV/0!</v>
      </c>
      <c r="Q34" t="e">
        <f t="shared" si="11"/>
        <v>#DIV/0!</v>
      </c>
    </row>
    <row r="35" spans="1:17">
      <c r="A35" t="s">
        <v>46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ref="F35:H35" si="24">ROUND(F19*0.0098,3)</f>
        <v>0</v>
      </c>
      <c r="G35">
        <f t="shared" si="24"/>
        <v>0</v>
      </c>
      <c r="H35">
        <f t="shared" si="24"/>
        <v>0</v>
      </c>
      <c r="I35">
        <f t="shared" si="4"/>
        <v>0</v>
      </c>
      <c r="J35" s="6">
        <f t="shared" si="5"/>
        <v>0</v>
      </c>
      <c r="L35">
        <f t="shared" si="18"/>
        <v>0</v>
      </c>
      <c r="M35" t="e">
        <f t="shared" si="7"/>
        <v>#DIV/0!</v>
      </c>
      <c r="N35" t="e">
        <f t="shared" si="8"/>
        <v>#DIV/0!</v>
      </c>
      <c r="O35" t="e">
        <f t="shared" si="9"/>
        <v>#DIV/0!</v>
      </c>
      <c r="P35" t="e">
        <f t="shared" si="10"/>
        <v>#DIV/0!</v>
      </c>
      <c r="Q35" t="e">
        <f t="shared" si="11"/>
        <v>#DIV/0!</v>
      </c>
    </row>
  </sheetData>
  <sheetProtection sheet="1" objects="1" scenarios="1"/>
  <protectedRanges>
    <protectedRange sqref="B5:Q19" name="输入数据"/>
  </protectedRanges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DEMO</vt:lpstr>
      <vt:lpstr>数据</vt:lpstr>
      <vt:lpstr>合并结果</vt:lpstr>
      <vt:lpstr>分列结果</vt:lpstr>
      <vt:lpstr>显著性提取</vt:lpstr>
      <vt:lpstr>显著性格式整理</vt:lpstr>
      <vt:lpstr>微生物的计算</vt:lpstr>
      <vt:lpstr>质构名词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Jiang Zhaojing</cp:lastModifiedBy>
  <dcterms:created xsi:type="dcterms:W3CDTF">2020-02-22T07:29:27Z</dcterms:created>
  <dcterms:modified xsi:type="dcterms:W3CDTF">2023-07-08T02:08:19Z</dcterms:modified>
</cp:coreProperties>
</file>