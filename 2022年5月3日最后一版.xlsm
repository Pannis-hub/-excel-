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C:\Users\nyjia\OneDrive\A宏文件\代码\EXCEL\"/>
    </mc:Choice>
  </mc:AlternateContent>
  <bookViews>
    <workbookView xWindow="0" yWindow="0" windowWidth="23040" windowHeight="9144" firstSheet="1" activeTab="3"/>
  </bookViews>
  <sheets>
    <sheet name="DEMO" sheetId="17" r:id="rId1"/>
    <sheet name="数据" sheetId="1" r:id="rId2"/>
    <sheet name="输出结果" sheetId="35" r:id="rId3"/>
    <sheet name="转置后数据" sheetId="38" r:id="rId4"/>
    <sheet name="合并结果" sheetId="36" r:id="rId5"/>
    <sheet name="显著性提取" sheetId="33" r:id="rId6"/>
    <sheet name="显著性格式整理" sheetId="34" r:id="rId7"/>
    <sheet name="微生物的计算" sheetId="30" r:id="rId8"/>
  </sheets>
  <functionGroups builtInGroupCount="18"/>
  <definedNames>
    <definedName name="_xlnm._FilterDatabase" localSheetId="5" hidden="1">显著性提取!$I$2:$N$7</definedName>
    <definedName name="after101">#REF!</definedName>
    <definedName name="after102">#REF!</definedName>
    <definedName name="after103">#REF!</definedName>
    <definedName name="after104">#REF!</definedName>
    <definedName name="after105">#REF!</definedName>
    <definedName name="after11">#REF!</definedName>
    <definedName name="after111">#REF!</definedName>
    <definedName name="after112">#REF!</definedName>
    <definedName name="after113">#REF!</definedName>
    <definedName name="after114">#REF!</definedName>
    <definedName name="after115">#REF!</definedName>
    <definedName name="after12">#REF!</definedName>
    <definedName name="after121">#REF!</definedName>
    <definedName name="after122">#REF!</definedName>
    <definedName name="after123">#REF!</definedName>
    <definedName name="after124">#REF!</definedName>
    <definedName name="after125">#REF!</definedName>
    <definedName name="after13">#REF!</definedName>
    <definedName name="after14">#REF!</definedName>
    <definedName name="after15">#REF!</definedName>
    <definedName name="after21">#REF!</definedName>
    <definedName name="after22">#REF!</definedName>
    <definedName name="after23">#REF!</definedName>
    <definedName name="after24">#REF!</definedName>
    <definedName name="after25">#REF!</definedName>
    <definedName name="after31">#REF!</definedName>
    <definedName name="after32">#REF!</definedName>
    <definedName name="after33">#REF!</definedName>
    <definedName name="after34">#REF!</definedName>
    <definedName name="after35">#REF!</definedName>
    <definedName name="after36">#REF!</definedName>
    <definedName name="after41">#REF!</definedName>
    <definedName name="after42">#REF!</definedName>
    <definedName name="after43">#REF!</definedName>
    <definedName name="after44">#REF!</definedName>
    <definedName name="after45">#REF!</definedName>
    <definedName name="after51">#REF!</definedName>
    <definedName name="after52">#REF!</definedName>
    <definedName name="after53">#REF!</definedName>
    <definedName name="after54">#REF!</definedName>
    <definedName name="after55">#REF!</definedName>
    <definedName name="after61">#REF!</definedName>
    <definedName name="after62">#REF!</definedName>
    <definedName name="after63">#REF!</definedName>
    <definedName name="after64">#REF!</definedName>
    <definedName name="after65">#REF!</definedName>
    <definedName name="after71">#REF!</definedName>
    <definedName name="after72">#REF!</definedName>
    <definedName name="after73">#REF!</definedName>
    <definedName name="after74">#REF!</definedName>
    <definedName name="after75">#REF!</definedName>
    <definedName name="after81">#REF!</definedName>
    <definedName name="after82">#REF!</definedName>
    <definedName name="after83">#REF!</definedName>
    <definedName name="after84">#REF!</definedName>
    <definedName name="after85">#REF!</definedName>
    <definedName name="after91">#REF!</definedName>
    <definedName name="after92">#REF!</definedName>
    <definedName name="after93">#REF!</definedName>
    <definedName name="after94">#REF!</definedName>
    <definedName name="after95">#REF!</definedName>
    <definedName name="fdg">#REF!</definedName>
    <definedName name="name11">#REF!</definedName>
    <definedName name="name110">#REF!</definedName>
    <definedName name="name111">#REF!</definedName>
    <definedName name="name112">#REF!</definedName>
    <definedName name="name12">#REF!</definedName>
    <definedName name="name13">#REF!</definedName>
    <definedName name="name14">#REF!</definedName>
    <definedName name="name15">#REF!</definedName>
    <definedName name="name16">#REF!</definedName>
    <definedName name="name17">#REF!</definedName>
    <definedName name="name18">#REF!</definedName>
    <definedName name="name19">#REF!</definedName>
    <definedName name="name21">#REF!</definedName>
    <definedName name="name210">#REF!</definedName>
    <definedName name="name211">#REF!</definedName>
    <definedName name="name212">#REF!</definedName>
    <definedName name="name22">#REF!</definedName>
    <definedName name="name23">#REF!</definedName>
    <definedName name="name24">#REF!</definedName>
    <definedName name="name25">#REF!</definedName>
    <definedName name="name26">#REF!</definedName>
    <definedName name="name27">#REF!</definedName>
    <definedName name="name28">#REF!</definedName>
    <definedName name="name29">#REF!</definedName>
    <definedName name="name31">#REF!</definedName>
    <definedName name="name310">#REF!</definedName>
    <definedName name="name311">#REF!</definedName>
    <definedName name="name312">#REF!</definedName>
    <definedName name="name32">#REF!</definedName>
    <definedName name="name33">#REF!</definedName>
    <definedName name="name34">#REF!</definedName>
    <definedName name="name35">#REF!</definedName>
    <definedName name="name36">#REF!</definedName>
    <definedName name="name37">#REF!</definedName>
    <definedName name="name38">#REF!</definedName>
    <definedName name="name39">#REF!</definedName>
    <definedName name="name41">#REF!</definedName>
    <definedName name="name410">#REF!</definedName>
    <definedName name="name411">#REF!</definedName>
    <definedName name="name412">#REF!</definedName>
    <definedName name="name42">#REF!</definedName>
    <definedName name="name43">#REF!</definedName>
    <definedName name="name44">#REF!</definedName>
    <definedName name="name45">#REF!</definedName>
    <definedName name="name46">#REF!</definedName>
    <definedName name="name47">#REF!</definedName>
    <definedName name="name48">#REF!</definedName>
    <definedName name="name49">#REF!</definedName>
    <definedName name="name51">#REF!</definedName>
    <definedName name="name510">#REF!</definedName>
    <definedName name="name511">#REF!</definedName>
    <definedName name="name512">#REF!</definedName>
    <definedName name="name52">#REF!</definedName>
    <definedName name="name53">#REF!</definedName>
    <definedName name="name54">#REF!</definedName>
    <definedName name="name55">#REF!</definedName>
    <definedName name="name56">#REF!</definedName>
    <definedName name="name57">#REF!</definedName>
    <definedName name="name58">#REF!</definedName>
    <definedName name="name59">#REF!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33" l="1"/>
  <c r="O5" i="33"/>
  <c r="O6" i="33"/>
  <c r="O7" i="33"/>
  <c r="O8" i="33"/>
  <c r="O3" i="33"/>
</calcChain>
</file>

<file path=xl/sharedStrings.xml><?xml version="1.0" encoding="utf-8"?>
<sst xmlns="http://schemas.openxmlformats.org/spreadsheetml/2006/main" count="443" uniqueCount="202">
  <si>
    <t>SFC0</t>
    <phoneticPr fontId="1" type="noConversion"/>
  </si>
  <si>
    <t>SFC5</t>
    <phoneticPr fontId="1" type="noConversion"/>
  </si>
  <si>
    <t>SFC10</t>
  </si>
  <si>
    <t>SFC15</t>
  </si>
  <si>
    <t>SFC20</t>
  </si>
  <si>
    <t>SFC25</t>
  </si>
  <si>
    <t>SFC30</t>
  </si>
  <si>
    <t>SFC35</t>
  </si>
  <si>
    <t>SFC40</t>
  </si>
  <si>
    <t>SFC45</t>
  </si>
  <si>
    <t>SFC50</t>
  </si>
  <si>
    <t>SFC55</t>
  </si>
  <si>
    <t>A4</t>
  </si>
  <si>
    <t>梯度</t>
    <phoneticPr fontId="9" type="noConversion"/>
  </si>
  <si>
    <t>总数</t>
    <phoneticPr fontId="9" type="noConversion"/>
  </si>
  <si>
    <t>样品1</t>
    <phoneticPr fontId="9" type="noConversion"/>
  </si>
  <si>
    <t>样品2</t>
    <phoneticPr fontId="9" type="noConversion"/>
  </si>
  <si>
    <t>样品3</t>
  </si>
  <si>
    <t>样品4</t>
  </si>
  <si>
    <t>样品5</t>
  </si>
  <si>
    <t>样品6</t>
  </si>
  <si>
    <t>样品7</t>
  </si>
  <si>
    <t>样品8</t>
  </si>
  <si>
    <t>样品9</t>
  </si>
  <si>
    <t>样品10</t>
  </si>
  <si>
    <t>按照国标方法进行计算，在对应的稀释梯度中输入菌落总数，最多可以输入两个梯度（两个梯度必须连续，不可有间隔）然后点击计算。
只有右侧两种输入方式。 遇空行自动默认计算完成。</t>
    <phoneticPr fontId="1" type="noConversion"/>
  </si>
  <si>
    <t>cyc4</t>
    <phoneticPr fontId="9" type="noConversion"/>
  </si>
  <si>
    <t>cyc3</t>
    <phoneticPr fontId="9" type="noConversion"/>
  </si>
  <si>
    <t>cyc2</t>
    <phoneticPr fontId="9" type="noConversion"/>
  </si>
  <si>
    <t>cyc1</t>
    <phoneticPr fontId="9" type="noConversion"/>
  </si>
  <si>
    <t>新鲜</t>
    <phoneticPr fontId="9" type="noConversion"/>
  </si>
  <si>
    <t>分组</t>
  </si>
  <si>
    <t>均值</t>
  </si>
  <si>
    <t/>
  </si>
  <si>
    <t>A</t>
  </si>
  <si>
    <t>B</t>
  </si>
  <si>
    <t>AB</t>
  </si>
  <si>
    <r>
      <rPr>
        <sz val="12"/>
        <color theme="1"/>
        <rFont val="宋体"/>
        <family val="3"/>
        <charset val="134"/>
      </rPr>
      <t>样品</t>
    </r>
    <r>
      <rPr>
        <sz val="12"/>
        <color theme="1"/>
        <rFont val="Times New Roman"/>
        <family val="1"/>
      </rPr>
      <t>1</t>
    </r>
    <phoneticPr fontId="1" type="noConversion"/>
  </si>
  <si>
    <r>
      <rPr>
        <sz val="12"/>
        <color theme="1"/>
        <rFont val="宋体"/>
        <family val="3"/>
        <charset val="134"/>
      </rPr>
      <t>样品</t>
    </r>
    <r>
      <rPr>
        <sz val="12"/>
        <color theme="1"/>
        <rFont val="Times New Roman"/>
        <family val="1"/>
      </rPr>
      <t>2</t>
    </r>
    <phoneticPr fontId="1" type="noConversion"/>
  </si>
  <si>
    <r>
      <rPr>
        <sz val="12"/>
        <color theme="1"/>
        <rFont val="宋体"/>
        <family val="3"/>
        <charset val="134"/>
      </rPr>
      <t>样品</t>
    </r>
    <r>
      <rPr>
        <sz val="12"/>
        <color theme="1"/>
        <rFont val="Times New Roman"/>
        <family val="1"/>
      </rPr>
      <t>3</t>
    </r>
    <phoneticPr fontId="1" type="noConversion"/>
  </si>
  <si>
    <t>cyc1</t>
  </si>
  <si>
    <t>cyc2</t>
  </si>
  <si>
    <t>cyc0</t>
  </si>
  <si>
    <t>0.05%</t>
    <phoneticPr fontId="1" type="noConversion"/>
  </si>
  <si>
    <t>0.00%</t>
  </si>
  <si>
    <t>0.05%</t>
  </si>
  <si>
    <t>0.15%</t>
  </si>
  <si>
    <t>0.25%</t>
  </si>
  <si>
    <t>C</t>
  </si>
  <si>
    <t>BC</t>
  </si>
  <si>
    <t>比容</t>
    <phoneticPr fontId="9" type="noConversion"/>
  </si>
  <si>
    <t>a</t>
  </si>
  <si>
    <t>b</t>
  </si>
  <si>
    <t>ab</t>
  </si>
  <si>
    <t>cyc3</t>
  </si>
  <si>
    <t>0.35%</t>
  </si>
  <si>
    <t>D</t>
  </si>
  <si>
    <t>ABC</t>
  </si>
  <si>
    <t>CD</t>
  </si>
  <si>
    <t>A</t>
    <phoneticPr fontId="1" type="noConversion"/>
  </si>
  <si>
    <t>COS-0.00%</t>
  </si>
  <si>
    <t>COS-0.05%</t>
  </si>
  <si>
    <t>COS-0.15%</t>
  </si>
  <si>
    <t>COS-0.25%</t>
  </si>
  <si>
    <t>COS-0.35%</t>
  </si>
  <si>
    <t>cyc4</t>
  </si>
  <si>
    <t>峰比例(%)</t>
  </si>
  <si>
    <t>cyc0</t>
    <phoneticPr fontId="1" type="noConversion"/>
  </si>
  <si>
    <t>cyc1</t>
    <phoneticPr fontId="1" type="noConversion"/>
  </si>
  <si>
    <t>cyc2</t>
    <phoneticPr fontId="1" type="noConversion"/>
  </si>
  <si>
    <t>cyc4</t>
    <phoneticPr fontId="1" type="noConversion"/>
  </si>
  <si>
    <t>2.765±0.054</t>
  </si>
  <si>
    <t>2.837±0.034</t>
  </si>
  <si>
    <t>2.800±0.059</t>
  </si>
  <si>
    <t>2.969±0.034</t>
  </si>
  <si>
    <t>2.939±0.078</t>
  </si>
  <si>
    <t>2.934±0.065</t>
  </si>
  <si>
    <t>2.704±0.033</t>
  </si>
  <si>
    <t>2.945±0.083</t>
  </si>
  <si>
    <t>3.056±0.017</t>
  </si>
  <si>
    <t>2.786±0.059</t>
  </si>
  <si>
    <t>2.784±0.020</t>
  </si>
  <si>
    <t>2.739±0.025</t>
  </si>
  <si>
    <t>2.805±0.090</t>
  </si>
  <si>
    <t>2.878±0.073</t>
  </si>
  <si>
    <t>2.756±0.010</t>
  </si>
  <si>
    <t>2.688±0.018</t>
  </si>
  <si>
    <t>2.792±0.087</t>
  </si>
  <si>
    <t>2.848±0.035</t>
  </si>
  <si>
    <t>2.755±0.037</t>
  </si>
  <si>
    <t>2.826±0.059</t>
  </si>
  <si>
    <t>2.925±0.030</t>
  </si>
  <si>
    <t>2.730±0.053</t>
  </si>
  <si>
    <t>2.917±0.055</t>
  </si>
  <si>
    <t>2.806±0.074</t>
  </si>
  <si>
    <t>2.751±0.063</t>
  </si>
  <si>
    <t>cyc3</t>
    <phoneticPr fontId="1" type="noConversion"/>
  </si>
  <si>
    <t>COS-0.00%</t>
    <phoneticPr fontId="1" type="noConversion"/>
  </si>
  <si>
    <t>COS-0.05%</t>
    <phoneticPr fontId="1" type="noConversion"/>
  </si>
  <si>
    <t>COS-0.15%</t>
    <phoneticPr fontId="1" type="noConversion"/>
  </si>
  <si>
    <t>COS-0.25%</t>
    <phoneticPr fontId="1" type="noConversion"/>
  </si>
  <si>
    <t>COS-0.35%</t>
    <phoneticPr fontId="1" type="noConversion"/>
  </si>
  <si>
    <t>cyc0</t>
    <phoneticPr fontId="1" type="noConversion"/>
  </si>
  <si>
    <t>cyc1</t>
    <phoneticPr fontId="1" type="noConversion"/>
  </si>
  <si>
    <t>cyc2</t>
    <phoneticPr fontId="1" type="noConversion"/>
  </si>
  <si>
    <t>cyc3</t>
    <phoneticPr fontId="1" type="noConversion"/>
  </si>
  <si>
    <t>cyc4</t>
    <phoneticPr fontId="1" type="noConversion"/>
  </si>
  <si>
    <r>
      <t>2.70±0.03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</si>
  <si>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2.77±0.05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</si>
  <si>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2.84±0.03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</si>
  <si>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2.95±0.08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</si>
  <si>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3.06±0.02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</si>
  <si>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2.80±0.06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</si>
  <si>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2.73±0.05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</si>
  <si>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2.79±0.06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</si>
  <si>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2.92±0.06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</si>
  <si>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2.97±0.03</t>
    </r>
    <r>
      <rPr>
        <vertAlign val="superscript"/>
        <sz val="11"/>
        <color theme="1"/>
        <rFont val="等线"/>
        <family val="3"/>
        <charset val="134"/>
        <scheme val="minor"/>
      </rPr>
      <t>ab</t>
    </r>
    <phoneticPr fontId="1" type="noConversion"/>
  </si>
  <si>
    <r>
      <t>2.78±0.02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</si>
  <si>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2.74±0.03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</si>
  <si>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2.81±0.09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</si>
  <si>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2.88±0.07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</si>
  <si>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2.94±0.08</t>
    </r>
    <r>
      <rPr>
        <vertAlign val="superscript"/>
        <sz val="11"/>
        <color theme="1"/>
        <rFont val="等线"/>
        <family val="3"/>
        <charset val="134"/>
        <scheme val="minor"/>
      </rPr>
      <t>ab</t>
    </r>
    <phoneticPr fontId="1" type="noConversion"/>
  </si>
  <si>
    <r>
      <t>2.76±0.01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</si>
  <si>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2.69±0.02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</si>
  <si>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2.79±0.09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</si>
  <si>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2.81±0.07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</si>
  <si>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2.85±0.04</t>
    </r>
    <r>
      <rPr>
        <vertAlign val="superscript"/>
        <sz val="11"/>
        <color theme="1"/>
        <rFont val="等线"/>
        <family val="3"/>
        <charset val="134"/>
        <scheme val="minor"/>
      </rPr>
      <t>b</t>
    </r>
    <phoneticPr fontId="1" type="noConversion"/>
  </si>
  <si>
    <r>
      <t>2.75±0.06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</si>
  <si>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2.76±0.04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</si>
  <si>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2.83±0.06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</si>
  <si>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2.93±0.03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1" type="noConversion"/>
  </si>
  <si>
    <r>
      <t>2.93±0.07</t>
    </r>
    <r>
      <rPr>
        <vertAlign val="superscript"/>
        <sz val="11"/>
        <color theme="1"/>
        <rFont val="等线"/>
        <family val="3"/>
        <charset val="134"/>
        <scheme val="minor"/>
      </rPr>
      <t>ab</t>
    </r>
    <phoneticPr fontId="1" type="noConversion"/>
  </si>
  <si>
    <t>COS-0.00%</t>
    <phoneticPr fontId="1" type="noConversion"/>
  </si>
  <si>
    <t>COS-0.05%</t>
    <phoneticPr fontId="1" type="noConversion"/>
  </si>
  <si>
    <t>COS-0.15%</t>
    <phoneticPr fontId="1" type="noConversion"/>
  </si>
  <si>
    <t>COS-0.25%</t>
    <phoneticPr fontId="1" type="noConversion"/>
  </si>
  <si>
    <t>COS-0.35%</t>
    <phoneticPr fontId="1" type="noConversion"/>
  </si>
  <si>
    <t>cyc0</t>
    <phoneticPr fontId="1" type="noConversion"/>
  </si>
  <si>
    <t>cyc1</t>
    <phoneticPr fontId="1" type="noConversion"/>
  </si>
  <si>
    <t>cyc2</t>
    <phoneticPr fontId="1" type="noConversion"/>
  </si>
  <si>
    <t>cyc3</t>
    <phoneticPr fontId="1" type="noConversion"/>
  </si>
  <si>
    <t>cyc4</t>
    <phoneticPr fontId="1" type="noConversion"/>
  </si>
  <si>
    <t>COS-0.00%</t>
    <phoneticPr fontId="1" type="noConversion"/>
  </si>
  <si>
    <t>COS-0.05%</t>
    <phoneticPr fontId="1" type="noConversion"/>
  </si>
  <si>
    <t>COS-0.15%</t>
    <phoneticPr fontId="1" type="noConversion"/>
  </si>
  <si>
    <t>COS-0.25%</t>
    <phoneticPr fontId="1" type="noConversion"/>
  </si>
  <si>
    <t>cyc0</t>
    <phoneticPr fontId="1" type="noConversion"/>
  </si>
  <si>
    <t>cyc1</t>
    <phoneticPr fontId="1" type="noConversion"/>
  </si>
  <si>
    <t>cyc2</t>
    <phoneticPr fontId="1" type="noConversion"/>
  </si>
  <si>
    <t>cyc3</t>
    <phoneticPr fontId="1" type="noConversion"/>
  </si>
  <si>
    <t>cyc4</t>
    <phoneticPr fontId="1" type="noConversion"/>
  </si>
  <si>
    <t>cyc0</t>
    <phoneticPr fontId="1" type="noConversion"/>
  </si>
  <si>
    <t>cyc3</t>
    <phoneticPr fontId="1" type="noConversion"/>
  </si>
  <si>
    <t>cyc4</t>
    <phoneticPr fontId="1" type="noConversion"/>
  </si>
  <si>
    <t xml:space="preserve">	000-0</t>
    <phoneticPr fontId="1" type="noConversion"/>
  </si>
  <si>
    <t>005-0</t>
  </si>
  <si>
    <t>015-0</t>
    <phoneticPr fontId="1" type="noConversion"/>
  </si>
  <si>
    <t>025-0</t>
    <phoneticPr fontId="1" type="noConversion"/>
  </si>
  <si>
    <t>035-0</t>
    <phoneticPr fontId="1" type="noConversion"/>
  </si>
  <si>
    <t xml:space="preserve">	000-0</t>
  </si>
  <si>
    <t>015-0</t>
  </si>
  <si>
    <t>025-0</t>
  </si>
  <si>
    <t>035-0</t>
  </si>
  <si>
    <t>cyc0</t>
    <phoneticPr fontId="1" type="noConversion"/>
  </si>
  <si>
    <t>cyc1</t>
    <phoneticPr fontId="1" type="noConversion"/>
  </si>
  <si>
    <t>cyc2</t>
    <phoneticPr fontId="1" type="noConversion"/>
  </si>
  <si>
    <t>cyc3</t>
    <phoneticPr fontId="1" type="noConversion"/>
  </si>
  <si>
    <t>cyc4</t>
    <phoneticPr fontId="1" type="noConversion"/>
  </si>
  <si>
    <t xml:space="preserve">	000-0</t>
    <phoneticPr fontId="1" type="noConversion"/>
  </si>
  <si>
    <t>015-0</t>
    <phoneticPr fontId="1" type="noConversion"/>
  </si>
  <si>
    <t>025-0</t>
    <phoneticPr fontId="1" type="noConversion"/>
  </si>
  <si>
    <t>035-0</t>
    <phoneticPr fontId="1" type="noConversion"/>
  </si>
  <si>
    <t>035-0</t>
    <phoneticPr fontId="1" type="noConversion"/>
  </si>
  <si>
    <t>1.48±0.02</t>
  </si>
  <si>
    <t>1.57±0.03</t>
  </si>
  <si>
    <t>1.62±0.03</t>
  </si>
  <si>
    <t>1.67±0.03</t>
  </si>
  <si>
    <t>1.75±0.03</t>
  </si>
  <si>
    <t>1.58±0.03</t>
  </si>
  <si>
    <t>1.61±0.02</t>
  </si>
  <si>
    <t>1.66±0.01</t>
  </si>
  <si>
    <t>1.76±0.04</t>
  </si>
  <si>
    <t>1.54±0.03</t>
  </si>
  <si>
    <t>1.57±0.02</t>
  </si>
  <si>
    <t>1.62±0.02</t>
  </si>
  <si>
    <t>1.72±0.02</t>
  </si>
  <si>
    <t>1.51±0.00</t>
  </si>
  <si>
    <t>1.56±0.02</t>
  </si>
  <si>
    <t>1.59±0.02</t>
  </si>
  <si>
    <t>1.66±0.03</t>
  </si>
  <si>
    <t>1.59±0.03</t>
  </si>
  <si>
    <t>1.60±0.02</t>
  </si>
  <si>
    <t>1.65±0.01</t>
  </si>
  <si>
    <t>1.70±0.02</t>
  </si>
  <si>
    <t>cyc3</t>
    <phoneticPr fontId="1" type="noConversion"/>
  </si>
  <si>
    <t>cyc2</t>
    <phoneticPr fontId="1" type="noConversion"/>
  </si>
  <si>
    <t>1.44±0.00</t>
  </si>
  <si>
    <t>1.51±0.01</t>
  </si>
  <si>
    <t>005-0</t>
    <phoneticPr fontId="1" type="noConversion"/>
  </si>
  <si>
    <t>015-0</t>
    <phoneticPr fontId="1" type="noConversion"/>
  </si>
  <si>
    <t>025-0</t>
    <phoneticPr fontId="1" type="noConversion"/>
  </si>
  <si>
    <t>035-0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</si>
</sst>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 "/>
    <numFmt numFmtId="177" formatCode="0.000_ "/>
  </numFmts>
  <fonts count="1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等线"/>
      <family val="3"/>
      <charset val="134"/>
      <scheme val="minor"/>
    </font>
    <font>
      <b/>
      <sz val="12"/>
      <color rgb="FF000000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Times New Roma"/>
    </font>
    <font>
      <sz val="12"/>
      <color theme="1"/>
      <name val="宋体"/>
      <family val="3"/>
      <charset val="134"/>
    </font>
    <font>
      <sz val="11"/>
      <color theme="1"/>
      <name val="等线"/>
      <family val="2"/>
      <charset val="134"/>
      <scheme val="minor"/>
    </font>
    <font>
      <i/>
      <sz val="11.5"/>
      <color rgb="FF000000"/>
      <name val="Times New Roman"/>
      <family val="1"/>
    </font>
    <font>
      <sz val="11"/>
      <color theme="1"/>
      <name val="Times New Roma"/>
      <family val="1"/>
    </font>
    <font>
      <vertAlign val="super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5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0" fillId="0" borderId="0"/>
    <xf numFmtId="0" fontId="13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6" fillId="2" borderId="0" xfId="1" applyAlignment="1"/>
    <xf numFmtId="0" fontId="10" fillId="0" borderId="0" xfId="3"/>
    <xf numFmtId="48" fontId="10" fillId="0" borderId="0" xfId="3" applyNumberFormat="1"/>
    <xf numFmtId="0" fontId="7" fillId="3" borderId="0" xfId="2" applyAlignment="1"/>
    <xf numFmtId="11" fontId="10" fillId="0" borderId="0" xfId="3" applyNumberFormat="1"/>
    <xf numFmtId="0" fontId="10" fillId="0" borderId="0" xfId="3" applyNumberFormat="1"/>
    <xf numFmtId="49" fontId="0" fillId="0" borderId="0" xfId="0" applyNumberFormat="1">
      <alignment vertical="center"/>
    </xf>
    <xf numFmtId="49" fontId="0" fillId="0" borderId="0" xfId="0" applyNumberFormat="1" applyFill="1" applyBorder="1">
      <alignment vertical="center"/>
    </xf>
    <xf numFmtId="10" fontId="10" fillId="0" borderId="0" xfId="3" applyNumberFormat="1"/>
    <xf numFmtId="176" fontId="11" fillId="0" borderId="0" xfId="0" applyNumberFormat="1" applyFont="1">
      <alignment vertical="center"/>
    </xf>
    <xf numFmtId="49" fontId="11" fillId="0" borderId="0" xfId="0" applyNumberFormat="1" applyFont="1">
      <alignment vertical="center"/>
    </xf>
    <xf numFmtId="0" fontId="3" fillId="4" borderId="0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vertical="center" wrapText="1"/>
    </xf>
    <xf numFmtId="0" fontId="6" fillId="4" borderId="1" xfId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0" fillId="4" borderId="6" xfId="0" applyFill="1" applyBorder="1">
      <alignment vertical="center"/>
    </xf>
    <xf numFmtId="0" fontId="5" fillId="4" borderId="8" xfId="0" applyFont="1" applyFill="1" applyBorder="1" applyAlignment="1">
      <alignment horizontal="center" vertical="center" wrapText="1"/>
    </xf>
    <xf numFmtId="0" fontId="0" fillId="0" borderId="0" xfId="0" applyBorder="1">
      <alignment vertical="center"/>
    </xf>
    <xf numFmtId="0" fontId="10" fillId="0" borderId="0" xfId="3" applyBorder="1"/>
    <xf numFmtId="0" fontId="10" fillId="0" borderId="9" xfId="3" applyBorder="1"/>
    <xf numFmtId="0" fontId="0" fillId="0" borderId="1" xfId="0" applyBorder="1" applyAlignment="1"/>
    <xf numFmtId="0" fontId="0" fillId="0" borderId="3" xfId="0" applyBorder="1" applyAlignment="1"/>
    <xf numFmtId="0" fontId="14" fillId="0" borderId="0" xfId="0" applyFont="1">
      <alignment vertical="center"/>
    </xf>
    <xf numFmtId="49" fontId="2" fillId="4" borderId="5" xfId="0" applyNumberFormat="1" applyFont="1" applyFill="1" applyBorder="1" applyAlignment="1">
      <alignment vertical="center" wrapText="1"/>
    </xf>
    <xf numFmtId="49" fontId="15" fillId="0" borderId="0" xfId="0" applyNumberFormat="1" applyFont="1">
      <alignment vertical="center"/>
    </xf>
    <xf numFmtId="49" fontId="10" fillId="0" borderId="0" xfId="3" applyNumberFormat="1"/>
    <xf numFmtId="11" fontId="0" fillId="0" borderId="0" xfId="0" applyNumberFormat="1">
      <alignment vertical="center"/>
    </xf>
    <xf numFmtId="0" fontId="11" fillId="0" borderId="0" xfId="0" applyFont="1">
      <alignment vertical="center"/>
    </xf>
    <xf numFmtId="0" fontId="15" fillId="0" borderId="0" xfId="0" applyFont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177" fontId="11" fillId="0" borderId="0" xfId="0" applyNumberFormat="1" applyFont="1">
      <alignment vertical="center"/>
    </xf>
    <xf numFmtId="0" fontId="10" fillId="0" borderId="0" xfId="3" applyAlignment="1">
      <alignment horizontal="center" vertical="center" wrapText="1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0" borderId="15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18" fillId="0" borderId="15" xfId="0" applyNumberFormat="1" applyFont="1" applyBorder="1">
      <alignment vertical="center"/>
    </xf>
    <xf numFmtId="49" fontId="17" fillId="0" borderId="0" xfId="0" applyNumberFormat="1" applyFont="1" applyBorder="1">
      <alignment vertical="center"/>
    </xf>
    <xf numFmtId="49" fontId="17" fillId="0" borderId="1" xfId="0" applyNumberFormat="1" applyFont="1" applyBorder="1">
      <alignment vertical="center"/>
    </xf>
    <xf numFmtId="49" fontId="0" fillId="0" borderId="15" xfId="0" applyNumberFormat="1" applyFont="1" applyBorder="1">
      <alignment vertical="center"/>
    </xf>
    <xf numFmtId="49" fontId="17" fillId="0" borderId="15" xfId="0" applyNumberFormat="1" applyFont="1" applyBorder="1">
      <alignment vertical="center"/>
    </xf>
    <xf numFmtId="49" fontId="0" fillId="0" borderId="14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</cellXfs>
  <cellStyles count="5">
    <cellStyle name="常规" xfId="0" builtinId="0"/>
    <cellStyle name="常规 2" xfId="3"/>
    <cellStyle name="常规 3" xfId="4"/>
    <cellStyle name="好" xfId="1" builtinId="26"/>
    <cellStyle name="适中" xfId="2" builtinId="28"/>
  </cellStyles>
  <dxfs count="0"/>
  <tableStyles count="0" defaultTableStyle="TableStyleMedium2" defaultPivotStyle="PivotStyleLight16"/>
  <colors>
    <mruColors>
      <color rgb="FFFF9D5B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83820</xdr:colOff>
      <xdr:row>1</xdr:row>
      <xdr:rowOff>182880</xdr:rowOff>
    </xdr:from>
    <xdr:to>
      <xdr:col>16</xdr:col>
      <xdr:colOff>342900</xdr:colOff>
      <xdr:row>11</xdr:row>
      <xdr:rowOff>76200</xdr:rowOff>
    </xdr:to>
    <xdr:sp macro="" textlink="">
      <xdr:nvSpPr>
        <xdr:cNvPr id="4" name="文本框 3"/>
        <xdr:cNvSpPr txBox="1"/>
      </xdr:nvSpPr>
      <xdr:spPr>
        <a:xfrm>
          <a:off x="8328660" y="365760"/>
          <a:ext cx="2087880" cy="18973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zh-CN" altLang="en-US" sz="1400"/>
            <a:t>此为数据范围（行列标题必须包括在内），选中后点击自动选择按键，然后进行分析。</a:t>
          </a:r>
        </a:p>
      </xdr:txBody>
    </xdr:sp>
    <xdr:clientData/>
  </xdr:twoCellAnchor>
  <xdr:twoCellAnchor>
    <xdr:from>
      <xdr:col>0</xdr:col>
      <xdr:colOff>30480</xdr:colOff>
      <xdr:row>17</xdr:row>
      <xdr:rowOff>182880</xdr:rowOff>
    </xdr:from>
    <xdr:to>
      <xdr:col>10</xdr:col>
      <xdr:colOff>251460</xdr:colOff>
      <xdr:row>36</xdr:row>
      <xdr:rowOff>7620</xdr:rowOff>
    </xdr:to>
    <xdr:sp macro="" textlink="">
      <xdr:nvSpPr>
        <xdr:cNvPr id="5" name="文本框 4"/>
        <xdr:cNvSpPr txBox="1"/>
      </xdr:nvSpPr>
      <xdr:spPr>
        <a:xfrm>
          <a:off x="30480" y="3566160"/>
          <a:ext cx="6637020" cy="31775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/>
            <a:t>使用说明</a:t>
          </a:r>
          <a:endParaRPr lang="en-US" altLang="zh-CN" sz="1200"/>
        </a:p>
        <a:p>
          <a:pPr algn="l"/>
          <a:r>
            <a:rPr lang="zh-CN" altLang="en-US" sz="1200" baseline="0"/>
            <a:t>   </a:t>
          </a:r>
          <a:r>
            <a:rPr lang="en-US" altLang="zh-CN" sz="1200"/>
            <a:t/>
          </a:r>
          <a:br>
            <a:rPr lang="en-US" altLang="zh-CN" sz="1200"/>
          </a:br>
          <a:r>
            <a:rPr lang="en-US" altLang="zh-CN" sz="1200"/>
            <a:t/>
          </a:r>
          <a:br>
            <a:rPr lang="en-US" altLang="zh-CN" sz="1200"/>
          </a:br>
          <a:r>
            <a:rPr lang="zh-CN" altLang="en-US" sz="1200"/>
            <a:t>使用数据分析时：</a:t>
          </a:r>
          <a:r>
            <a:rPr lang="en-US" altLang="zh-CN" sz="1200"/>
            <a:t/>
          </a:r>
          <a:br>
            <a:rPr lang="en-US" altLang="zh-CN" sz="1200"/>
          </a:br>
          <a:r>
            <a:rPr lang="en-US" altLang="zh-CN" sz="1200"/>
            <a:t>    1. </a:t>
          </a:r>
          <a:r>
            <a:rPr lang="zh-CN" altLang="en-US" sz="1200"/>
            <a:t>请确认数据正确输入，数据内不要输入文字（如有非数据值，会提示错误）。</a:t>
          </a:r>
          <a:r>
            <a:rPr lang="en-US" altLang="zh-CN" sz="1200"/>
            <a:t/>
          </a:r>
          <a:br>
            <a:rPr lang="en-US" altLang="zh-CN" sz="1200"/>
          </a:br>
          <a:r>
            <a:rPr lang="en-US" altLang="zh-CN" sz="1200" baseline="0"/>
            <a:t>    </a:t>
          </a:r>
          <a:r>
            <a:rPr lang="en-US" altLang="zh-CN" sz="1200"/>
            <a:t>2. </a:t>
          </a:r>
          <a:r>
            <a:rPr lang="zh-CN" altLang="en-US" sz="1200"/>
            <a:t>如果组内有</a:t>
          </a:r>
          <a:r>
            <a:rPr lang="zh-CN" altLang="en-US" sz="1200">
              <a:solidFill>
                <a:srgbClr val="FF0000"/>
              </a:solidFill>
            </a:rPr>
            <a:t>空值不妨碍计算</a:t>
          </a:r>
          <a:r>
            <a:rPr lang="zh-CN" altLang="en-US" sz="1200"/>
            <a:t>，也不影响正确性。</a:t>
          </a:r>
          <a:r>
            <a:rPr lang="en-US" altLang="zh-CN" sz="1200" baseline="0"/>
            <a:t>    </a:t>
          </a:r>
          <a:r>
            <a:rPr lang="zh-CN" altLang="en-US" sz="1200" baseline="0"/>
            <a:t>如</a:t>
          </a:r>
          <a:r>
            <a:rPr lang="en-US" altLang="zh-CN" sz="1200" baseline="0"/>
            <a:t>B5</a:t>
          </a:r>
          <a:r>
            <a:rPr lang="zh-CN" altLang="en-US" sz="1200" baseline="0"/>
            <a:t>、</a:t>
          </a:r>
          <a:r>
            <a:rPr lang="en-US" altLang="zh-CN" sz="1200" baseline="0"/>
            <a:t>E12</a:t>
          </a:r>
          <a:r>
            <a:rPr lang="zh-CN" altLang="en-US" sz="1200" baseline="0"/>
            <a:t>的缺失。</a:t>
          </a:r>
          <a:endParaRPr lang="en-US" altLang="zh-CN" sz="1200" baseline="0"/>
        </a:p>
        <a:p>
          <a:pPr algn="l"/>
          <a:r>
            <a:rPr lang="en-US" altLang="zh-CN" sz="1200" baseline="0"/>
            <a:t/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  <xdr:twoCellAnchor>
    <xdr:from>
      <xdr:col>11</xdr:col>
      <xdr:colOff>91440</xdr:colOff>
      <xdr:row>20</xdr:row>
      <xdr:rowOff>45720</xdr:rowOff>
    </xdr:from>
    <xdr:to>
      <xdr:col>22</xdr:col>
      <xdr:colOff>7620</xdr:colOff>
      <xdr:row>35</xdr:row>
      <xdr:rowOff>137160</xdr:rowOff>
    </xdr:to>
    <xdr:sp macro="" textlink="">
      <xdr:nvSpPr>
        <xdr:cNvPr id="6" name="文本框 5"/>
        <xdr:cNvSpPr txBox="1"/>
      </xdr:nvSpPr>
      <xdr:spPr>
        <a:xfrm>
          <a:off x="7117080" y="3977640"/>
          <a:ext cx="6621780" cy="2720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 baseline="0">
              <a:solidFill>
                <a:srgbClr val="FF0000"/>
              </a:solidFill>
            </a:rPr>
            <a:t>注：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aseline="0">
              <a:solidFill>
                <a:srgbClr val="FF0000"/>
              </a:solidFill>
            </a:rPr>
            <a:t>1</a:t>
          </a:r>
          <a:r>
            <a:rPr lang="zh-CN" altLang="en-US" sz="1200" baseline="0">
              <a:solidFill>
                <a:srgbClr val="FF0000"/>
              </a:solidFill>
            </a:rPr>
            <a:t>、偶见不显示行列标题</a:t>
          </a:r>
          <a:r>
            <a:rPr lang="en-US" altLang="zh-CN" sz="1200" baseline="0">
              <a:solidFill>
                <a:srgbClr val="FF0000"/>
              </a:solidFill>
            </a:rPr>
            <a:t>BUG</a:t>
          </a:r>
          <a:r>
            <a:rPr lang="zh-CN" altLang="en-US" sz="1200" baseline="0">
              <a:solidFill>
                <a:srgbClr val="FF0000"/>
              </a:solidFill>
            </a:rPr>
            <a:t>。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、使用转置功能，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如果只有一列数据则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触发</a:t>
          </a:r>
          <a:r>
            <a:rPr lang="en-US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BUG</a:t>
          </a:r>
          <a:r>
            <a:rPr lang="zh-CN" altLang="en-US" sz="9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（懒得修改）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，可将数据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复制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一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行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（列）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，即可解决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CN" sz="11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altLang="zh-CN" sz="16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200" baseline="0"/>
            <a:t/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487680</xdr:colOff>
          <xdr:row>4</xdr:row>
          <xdr:rowOff>45720</xdr:rowOff>
        </xdr:from>
        <xdr:to>
          <xdr:col>18</xdr:col>
          <xdr:colOff>556260</xdr:colOff>
          <xdr:row>8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7620</xdr:rowOff>
        </xdr:from>
        <xdr:to>
          <xdr:col>5</xdr:col>
          <xdr:colOff>350520</xdr:colOff>
          <xdr:row>1</xdr:row>
          <xdr:rowOff>45720</xdr:rowOff>
        </xdr:to>
        <xdr:sp macro="" textlink="">
          <xdr:nvSpPr>
            <xdr:cNvPr id="18434" name="transposition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30480</xdr:rowOff>
        </xdr:from>
        <xdr:to>
          <xdr:col>1</xdr:col>
          <xdr:colOff>426720</xdr:colOff>
          <xdr:row>0</xdr:row>
          <xdr:rowOff>297180</xdr:rowOff>
        </xdr:to>
        <xdr:sp macro="" textlink="">
          <xdr:nvSpPr>
            <xdr:cNvPr id="14338" name="Transpose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541020</xdr:colOff>
          <xdr:row>1</xdr:row>
          <xdr:rowOff>45720</xdr:rowOff>
        </xdr:from>
        <xdr:to>
          <xdr:col>18</xdr:col>
          <xdr:colOff>7620</xdr:colOff>
          <xdr:row>2</xdr:row>
          <xdr:rowOff>137160</xdr:rowOff>
        </xdr:to>
        <xdr:sp macro="" textlink="">
          <xdr:nvSpPr>
            <xdr:cNvPr id="10252" name="ANOVA_marker_clear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563880</xdr:colOff>
          <xdr:row>3</xdr:row>
          <xdr:rowOff>68580</xdr:rowOff>
        </xdr:from>
        <xdr:to>
          <xdr:col>18</xdr:col>
          <xdr:colOff>7620</xdr:colOff>
          <xdr:row>5</xdr:row>
          <xdr:rowOff>45720</xdr:rowOff>
        </xdr:to>
        <xdr:sp macro="" textlink="">
          <xdr:nvSpPr>
            <xdr:cNvPr id="10253" name="ANOVA_marker_copy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99060</xdr:rowOff>
        </xdr:from>
        <xdr:to>
          <xdr:col>1</xdr:col>
          <xdr:colOff>205740</xdr:colOff>
          <xdr:row>18</xdr:row>
          <xdr:rowOff>152400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53340</xdr:colOff>
          <xdr:row>10</xdr:row>
          <xdr:rowOff>0</xdr:rowOff>
        </xdr:from>
        <xdr:to>
          <xdr:col>19</xdr:col>
          <xdr:colOff>160020</xdr:colOff>
          <xdr:row>11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251460</xdr:colOff>
      <xdr:row>13</xdr:row>
      <xdr:rowOff>76200</xdr:rowOff>
    </xdr:from>
    <xdr:to>
      <xdr:col>24</xdr:col>
      <xdr:colOff>467100</xdr:colOff>
      <xdr:row>28</xdr:row>
      <xdr:rowOff>114300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6380" y="2354580"/>
          <a:ext cx="6311640" cy="2667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40"/>
  <sheetViews>
    <sheetView workbookViewId="0">
      <selection activeCell="P17" sqref="P17"/>
    </sheetView>
  </sheetViews>
  <sheetFormatPr defaultRowHeight="13.8"/>
  <cols>
    <col min="1" max="4" width="8.88671875" style="1"/>
    <col min="5" max="5" width="13.5546875" style="1" bestFit="1" customWidth="1"/>
    <col min="6" max="16384" width="8.88671875" style="1"/>
  </cols>
  <sheetData>
    <row r="1" spans="1:13" ht="14.4" thickBot="1"/>
    <row r="2" spans="1:13" ht="15.6">
      <c r="A2" s="23"/>
      <c r="B2" s="16" t="s">
        <v>0</v>
      </c>
      <c r="C2" s="15" t="s">
        <v>1</v>
      </c>
      <c r="D2" s="16" t="s">
        <v>2</v>
      </c>
      <c r="E2" s="15" t="s">
        <v>3</v>
      </c>
      <c r="F2" s="16" t="s">
        <v>4</v>
      </c>
      <c r="G2" s="15" t="s">
        <v>5</v>
      </c>
      <c r="H2" s="16" t="s">
        <v>6</v>
      </c>
      <c r="I2" s="15" t="s">
        <v>7</v>
      </c>
      <c r="J2" s="16" t="s">
        <v>8</v>
      </c>
      <c r="K2" s="15" t="s">
        <v>9</v>
      </c>
      <c r="L2" s="16" t="s">
        <v>10</v>
      </c>
      <c r="M2" s="24" t="s">
        <v>11</v>
      </c>
    </row>
    <row r="3" spans="1:13" ht="16.2">
      <c r="A3" s="18" t="s">
        <v>37</v>
      </c>
      <c r="B3" s="14">
        <v>1</v>
      </c>
      <c r="C3" s="14">
        <v>16</v>
      </c>
      <c r="D3" s="14">
        <v>31</v>
      </c>
      <c r="E3" s="14">
        <v>0.69236470206792733</v>
      </c>
      <c r="F3" s="14">
        <v>0.36501115619879243</v>
      </c>
      <c r="G3" s="14">
        <v>3.879</v>
      </c>
      <c r="H3" s="14">
        <v>3.879</v>
      </c>
      <c r="I3" s="14">
        <v>3.6739999999999999</v>
      </c>
      <c r="J3" s="14">
        <v>3.879</v>
      </c>
      <c r="K3" s="14">
        <v>3.879</v>
      </c>
      <c r="L3" s="14">
        <v>3.6739999999999999</v>
      </c>
      <c r="M3" s="17">
        <v>3.879</v>
      </c>
    </row>
    <row r="4" spans="1:13" ht="15.6">
      <c r="A4" s="18"/>
      <c r="B4" s="14">
        <v>2</v>
      </c>
      <c r="C4" s="14">
        <v>17</v>
      </c>
      <c r="D4" s="14">
        <v>32</v>
      </c>
      <c r="E4" s="14">
        <v>0.25598736592911409</v>
      </c>
      <c r="F4" s="14">
        <v>0.50748188872778077</v>
      </c>
      <c r="G4" s="14">
        <v>3.806</v>
      </c>
      <c r="H4" s="14">
        <v>3.806</v>
      </c>
      <c r="I4" s="14">
        <v>3.9169999999999998</v>
      </c>
      <c r="J4" s="14">
        <v>3.806</v>
      </c>
      <c r="K4" s="14">
        <v>3.806</v>
      </c>
      <c r="L4" s="14">
        <v>3.9169999999999998</v>
      </c>
      <c r="M4" s="17">
        <v>3.806</v>
      </c>
    </row>
    <row r="5" spans="1:13" ht="15.6">
      <c r="A5" s="18"/>
      <c r="B5" s="14"/>
      <c r="C5" s="14">
        <v>18</v>
      </c>
      <c r="D5" s="14">
        <v>33</v>
      </c>
      <c r="E5" s="14">
        <v>0.51522891050561603</v>
      </c>
      <c r="F5" s="14">
        <v>0.8594489904063557</v>
      </c>
      <c r="G5" s="14">
        <v>3.7850000000000001</v>
      </c>
      <c r="H5" s="14">
        <v>3.7850000000000001</v>
      </c>
      <c r="I5" s="14">
        <v>3.7229999999999999</v>
      </c>
      <c r="J5" s="14">
        <v>3.7850000000000001</v>
      </c>
      <c r="K5" s="14">
        <v>3.7850000000000001</v>
      </c>
      <c r="L5" s="14">
        <v>3.7229999999999999</v>
      </c>
      <c r="M5" s="17">
        <v>3.7850000000000001</v>
      </c>
    </row>
    <row r="6" spans="1:13" ht="16.2">
      <c r="A6" s="18" t="s">
        <v>38</v>
      </c>
      <c r="B6" s="14">
        <v>4</v>
      </c>
      <c r="C6" s="14">
        <v>19</v>
      </c>
      <c r="D6" s="14">
        <v>34</v>
      </c>
      <c r="E6" s="14">
        <v>0.63726097185641206</v>
      </c>
      <c r="F6" s="14">
        <v>0.12566223712648827</v>
      </c>
      <c r="G6" s="14">
        <v>7.4089999999999998</v>
      </c>
      <c r="H6" s="14">
        <v>7.4089999999999998</v>
      </c>
      <c r="I6" s="14">
        <v>7.3259999999999996</v>
      </c>
      <c r="J6" s="14">
        <v>7.4089999999999998</v>
      </c>
      <c r="K6" s="14">
        <v>7.4089999999999998</v>
      </c>
      <c r="L6" s="14">
        <v>7.3259999999999996</v>
      </c>
      <c r="M6" s="17">
        <v>7.4089999999999998</v>
      </c>
    </row>
    <row r="7" spans="1:13" ht="15.6">
      <c r="A7" s="18"/>
      <c r="B7" s="14">
        <v>5</v>
      </c>
      <c r="C7" s="14">
        <v>20</v>
      </c>
      <c r="D7" s="14">
        <v>35</v>
      </c>
      <c r="E7" s="14">
        <v>0.59800163774721526</v>
      </c>
      <c r="F7" s="14">
        <v>0.36606664937520539</v>
      </c>
      <c r="G7" s="14">
        <v>7.0540000000000003</v>
      </c>
      <c r="H7" s="14">
        <v>7.0540000000000003</v>
      </c>
      <c r="I7" s="14">
        <v>7.1959999999999997</v>
      </c>
      <c r="J7" s="14">
        <v>7.0540000000000003</v>
      </c>
      <c r="K7" s="14">
        <v>7.0540000000000003</v>
      </c>
      <c r="L7" s="14">
        <v>7.1959999999999997</v>
      </c>
      <c r="M7" s="17">
        <v>7.0540000000000003</v>
      </c>
    </row>
    <row r="8" spans="1:13" ht="15.6">
      <c r="A8" s="18"/>
      <c r="B8" s="14">
        <v>6</v>
      </c>
      <c r="C8" s="14">
        <v>21</v>
      </c>
      <c r="D8" s="14">
        <v>36</v>
      </c>
      <c r="E8" s="14">
        <v>0.66236598051810747</v>
      </c>
      <c r="F8" s="14">
        <v>0.85394884358336587</v>
      </c>
      <c r="G8" s="14">
        <v>7.4480000000000004</v>
      </c>
      <c r="H8" s="14">
        <v>7.4480000000000004</v>
      </c>
      <c r="I8" s="14">
        <v>7.4109999999999996</v>
      </c>
      <c r="J8" s="14">
        <v>7.4480000000000004</v>
      </c>
      <c r="K8" s="14">
        <v>7.4480000000000004</v>
      </c>
      <c r="L8" s="14">
        <v>7.4109999999999996</v>
      </c>
      <c r="M8" s="17">
        <v>7.4480000000000004</v>
      </c>
    </row>
    <row r="9" spans="1:13" ht="16.2">
      <c r="A9" s="18" t="s">
        <v>39</v>
      </c>
      <c r="B9" s="14">
        <v>7</v>
      </c>
      <c r="C9" s="14">
        <v>22</v>
      </c>
      <c r="D9" s="14">
        <v>37</v>
      </c>
      <c r="E9" s="14">
        <v>0.53102070811556046</v>
      </c>
      <c r="F9" s="14">
        <v>0.37916562096925588</v>
      </c>
      <c r="G9" s="14">
        <v>4.2969999999999997</v>
      </c>
      <c r="H9" s="14">
        <v>4.2969999999999997</v>
      </c>
      <c r="I9" s="14">
        <v>3.802</v>
      </c>
      <c r="J9" s="14">
        <v>4.2969999999999997</v>
      </c>
      <c r="K9" s="14">
        <v>4.2969999999999997</v>
      </c>
      <c r="L9" s="14">
        <v>3.802</v>
      </c>
      <c r="M9" s="17">
        <v>4.2969999999999997</v>
      </c>
    </row>
    <row r="10" spans="1:13" ht="15.6">
      <c r="A10" s="18"/>
      <c r="B10" s="14">
        <v>8</v>
      </c>
      <c r="C10" s="14">
        <v>23</v>
      </c>
      <c r="D10" s="14">
        <v>38</v>
      </c>
      <c r="E10" s="14">
        <v>0.7158136799260707</v>
      </c>
      <c r="F10" s="14">
        <v>0.99492633825576771</v>
      </c>
      <c r="G10" s="14">
        <v>4.5209999999999999</v>
      </c>
      <c r="H10" s="14">
        <v>4.5209999999999999</v>
      </c>
      <c r="I10" s="14">
        <v>3.625</v>
      </c>
      <c r="J10" s="14">
        <v>4.5209999999999999</v>
      </c>
      <c r="K10" s="14">
        <v>4.5209999999999999</v>
      </c>
      <c r="L10" s="14">
        <v>3.625</v>
      </c>
      <c r="M10" s="17">
        <v>4.5209999999999999</v>
      </c>
    </row>
    <row r="11" spans="1:13" ht="15.6">
      <c r="A11" s="18"/>
      <c r="B11" s="14">
        <v>9</v>
      </c>
      <c r="C11" s="14">
        <v>24</v>
      </c>
      <c r="D11" s="14">
        <v>39</v>
      </c>
      <c r="E11" s="14">
        <v>0.56156189974977333</v>
      </c>
      <c r="F11" s="14">
        <v>0.68655925458115397</v>
      </c>
      <c r="G11" s="14">
        <v>4.2039999999999997</v>
      </c>
      <c r="H11" s="14">
        <v>4.2039999999999997</v>
      </c>
      <c r="I11" s="14">
        <v>3.609</v>
      </c>
      <c r="J11" s="14">
        <v>4.2039999999999997</v>
      </c>
      <c r="K11" s="14">
        <v>4.2039999999999997</v>
      </c>
      <c r="L11" s="14">
        <v>3.609</v>
      </c>
      <c r="M11" s="17">
        <v>4.2039999999999997</v>
      </c>
    </row>
    <row r="12" spans="1:13" ht="15.6">
      <c r="A12" s="18" t="s">
        <v>12</v>
      </c>
      <c r="B12" s="14">
        <v>10</v>
      </c>
      <c r="C12" s="14">
        <v>25</v>
      </c>
      <c r="D12" s="14">
        <v>40</v>
      </c>
      <c r="E12" s="14">
        <v>0.40834123660633503</v>
      </c>
      <c r="F12" s="14">
        <v>0.40678731785684152</v>
      </c>
      <c r="G12" s="14">
        <v>7.484</v>
      </c>
      <c r="H12" s="14">
        <v>7.484</v>
      </c>
      <c r="I12" s="14">
        <v>6.2329999999999997</v>
      </c>
      <c r="J12" s="14">
        <v>7.484</v>
      </c>
      <c r="K12" s="14">
        <v>7.484</v>
      </c>
      <c r="L12" s="14">
        <v>6.2329999999999997</v>
      </c>
      <c r="M12" s="19"/>
    </row>
    <row r="13" spans="1:13" ht="15.6">
      <c r="A13" s="18"/>
      <c r="B13" s="14">
        <v>11</v>
      </c>
      <c r="C13" s="14">
        <v>26</v>
      </c>
      <c r="D13" s="14">
        <v>41</v>
      </c>
      <c r="E13" s="14">
        <v>0.88841575914469273</v>
      </c>
      <c r="F13" s="14">
        <v>0.32879990384934543</v>
      </c>
      <c r="G13" s="14">
        <v>8.0530000000000008</v>
      </c>
      <c r="H13" s="14">
        <v>8.0530000000000008</v>
      </c>
      <c r="I13" s="14">
        <v>6.7190000000000003</v>
      </c>
      <c r="J13" s="14">
        <v>8.0530000000000008</v>
      </c>
      <c r="K13" s="14">
        <v>8.0530000000000008</v>
      </c>
      <c r="L13" s="14">
        <v>6.7190000000000003</v>
      </c>
      <c r="M13" s="19"/>
    </row>
    <row r="14" spans="1:13" ht="15.6">
      <c r="A14" s="18"/>
      <c r="B14" s="14">
        <v>12</v>
      </c>
      <c r="C14" s="14">
        <v>27</v>
      </c>
      <c r="D14" s="14">
        <v>42</v>
      </c>
      <c r="E14" s="14">
        <v>0.14364048373037108</v>
      </c>
      <c r="F14" s="14">
        <v>0.91809546355565008</v>
      </c>
      <c r="G14" s="14">
        <v>7.774</v>
      </c>
      <c r="H14" s="14">
        <v>7.774</v>
      </c>
      <c r="I14" s="14">
        <v>6.4459999999999997</v>
      </c>
      <c r="J14" s="14">
        <v>7.774</v>
      </c>
      <c r="K14" s="14">
        <v>7.774</v>
      </c>
      <c r="L14" s="14">
        <v>6.4459999999999997</v>
      </c>
      <c r="M14" s="19"/>
    </row>
    <row r="15" spans="1:13" ht="16.2" customHeight="1">
      <c r="A15" s="31" t="s">
        <v>43</v>
      </c>
      <c r="B15" s="14">
        <v>13</v>
      </c>
      <c r="C15" s="14">
        <v>28</v>
      </c>
      <c r="D15" s="14">
        <v>43</v>
      </c>
      <c r="E15" s="14">
        <v>5.1189999999999998</v>
      </c>
      <c r="F15" s="14">
        <v>4.4710000000000001</v>
      </c>
      <c r="G15" s="14">
        <v>5.1189999999999998</v>
      </c>
      <c r="H15" s="14">
        <v>5.1189999999999998</v>
      </c>
      <c r="I15" s="14">
        <v>4.4710000000000001</v>
      </c>
      <c r="J15" s="14">
        <v>5.1189999999999998</v>
      </c>
      <c r="K15" s="14">
        <v>5.1189999999999998</v>
      </c>
      <c r="L15" s="14">
        <v>4.4710000000000001</v>
      </c>
      <c r="M15" s="17">
        <v>5.1189999999999998</v>
      </c>
    </row>
    <row r="16" spans="1:13" ht="15.6">
      <c r="A16" s="18"/>
      <c r="B16" s="14">
        <v>14</v>
      </c>
      <c r="C16" s="14">
        <v>29</v>
      </c>
      <c r="D16" s="14">
        <v>44</v>
      </c>
      <c r="E16" s="14">
        <v>5.1390000000000002</v>
      </c>
      <c r="F16" s="14">
        <v>4.577</v>
      </c>
      <c r="G16" s="14">
        <v>5.1390000000000002</v>
      </c>
      <c r="H16" s="14">
        <v>5.1390000000000002</v>
      </c>
      <c r="I16" s="14">
        <v>4.577</v>
      </c>
      <c r="J16" s="14">
        <v>5.1390000000000002</v>
      </c>
      <c r="K16" s="14">
        <v>5.1390000000000002</v>
      </c>
      <c r="L16" s="14">
        <v>4.577</v>
      </c>
      <c r="M16" s="17">
        <v>5.1390000000000002</v>
      </c>
    </row>
    <row r="17" spans="1:14" ht="16.2" thickBot="1">
      <c r="A17" s="20"/>
      <c r="B17" s="21">
        <v>15</v>
      </c>
      <c r="C17" s="21">
        <v>30</v>
      </c>
      <c r="D17" s="21">
        <v>45</v>
      </c>
      <c r="E17" s="21">
        <v>5.1779999999999999</v>
      </c>
      <c r="F17" s="21">
        <v>4.5720000000000001</v>
      </c>
      <c r="G17" s="21">
        <v>5.1779999999999999</v>
      </c>
      <c r="H17" s="21">
        <v>5.1779999999999999</v>
      </c>
      <c r="I17" s="21">
        <v>4.5720000000000001</v>
      </c>
      <c r="J17" s="21">
        <v>5.1779999999999999</v>
      </c>
      <c r="K17" s="21">
        <v>5.1779999999999999</v>
      </c>
      <c r="L17" s="21">
        <v>4.5720000000000001</v>
      </c>
      <c r="M17" s="22">
        <v>5.1779999999999999</v>
      </c>
    </row>
    <row r="18" spans="1:14" ht="15.6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t="13.8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t="13.8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t="13.8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t="13.8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t="13.8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t="13.8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t="13.8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t="13.8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t="13.8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t="13.8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t="13.8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t="13.8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ht="13.8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ht="13.8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ht="13.8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ht="13.8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ht="13.8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ht="13.8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ht="13.8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ht="13.8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 ht="13.8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 ht="13.8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86"/>
  <sheetViews>
    <sheetView topLeftCell="K1" zoomScale="85" zoomScaleNormal="85" workbookViewId="0">
      <selection activeCell="Y3" sqref="Y3:Y17"/>
    </sheetView>
  </sheetViews>
  <sheetFormatPr defaultRowHeight="13.8"/>
  <cols>
    <col min="1" max="4" width="8.88671875" style="10"/>
    <col min="5" max="5" width="11.6640625" style="10" customWidth="1"/>
    <col min="6" max="16384" width="8.88671875" style="10"/>
  </cols>
  <sheetData>
    <row r="1" spans="1:32" ht="14.4" thickBo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14.4" thickBot="1">
      <c r="A2" s="9"/>
      <c r="B2" s="9"/>
      <c r="C2" s="9"/>
      <c r="D2" s="9"/>
      <c r="E2" s="9"/>
      <c r="F2" s="9"/>
      <c r="G2" s="9"/>
      <c r="H2" s="9"/>
      <c r="I2" s="9"/>
      <c r="J2" s="9"/>
      <c r="K2" s="9" t="s">
        <v>66</v>
      </c>
      <c r="L2" s="42" t="s">
        <v>42</v>
      </c>
      <c r="M2" s="43" t="s">
        <v>40</v>
      </c>
      <c r="N2" s="43" t="s">
        <v>41</v>
      </c>
      <c r="O2" s="43" t="s">
        <v>54</v>
      </c>
      <c r="P2" s="44" t="s">
        <v>65</v>
      </c>
      <c r="Q2" s="9"/>
      <c r="R2" s="9" t="s">
        <v>66</v>
      </c>
      <c r="S2" s="42" t="s">
        <v>163</v>
      </c>
      <c r="T2" s="43" t="s">
        <v>164</v>
      </c>
      <c r="U2" s="43" t="s">
        <v>165</v>
      </c>
      <c r="V2" s="43" t="s">
        <v>166</v>
      </c>
      <c r="W2" s="44" t="s">
        <v>167</v>
      </c>
      <c r="X2" s="9"/>
      <c r="Y2" s="9" t="s">
        <v>66</v>
      </c>
      <c r="Z2" s="42" t="s">
        <v>67</v>
      </c>
      <c r="AA2" s="43" t="s">
        <v>68</v>
      </c>
      <c r="AB2" s="43" t="s">
        <v>69</v>
      </c>
      <c r="AC2" s="43" t="s">
        <v>96</v>
      </c>
      <c r="AD2" s="44" t="s">
        <v>70</v>
      </c>
      <c r="AE2" s="9"/>
      <c r="AF2" s="9"/>
    </row>
    <row r="3" spans="1:32">
      <c r="A3" s="9"/>
      <c r="B3" s="9"/>
      <c r="C3" s="9"/>
      <c r="D3" s="9"/>
      <c r="E3" s="9"/>
      <c r="F3" s="9"/>
      <c r="G3" s="9"/>
      <c r="H3" s="9"/>
      <c r="I3" s="9"/>
      <c r="J3" s="9"/>
      <c r="K3" s="45" t="s">
        <v>159</v>
      </c>
      <c r="L3" s="25">
        <v>20.181000000000001</v>
      </c>
      <c r="M3" s="25">
        <v>17.649000000000001</v>
      </c>
      <c r="N3" s="25">
        <v>16.994</v>
      </c>
      <c r="O3" s="25">
        <v>15.042000000000002</v>
      </c>
      <c r="P3" s="38">
        <v>13.464999999999995</v>
      </c>
      <c r="Q3" s="9"/>
      <c r="R3" s="45" t="s">
        <v>168</v>
      </c>
      <c r="S3" s="46">
        <v>78.338999999999999</v>
      </c>
      <c r="T3" s="46">
        <v>80.817999999999998</v>
      </c>
      <c r="U3" s="46">
        <v>81.344999999999999</v>
      </c>
      <c r="V3" s="46">
        <v>83.317999999999998</v>
      </c>
      <c r="W3" s="47">
        <v>84.778000000000006</v>
      </c>
      <c r="X3" s="9"/>
      <c r="Y3" s="45" t="s">
        <v>154</v>
      </c>
      <c r="Z3" s="46">
        <v>1.48</v>
      </c>
      <c r="AA3" s="46">
        <v>1.5329999999999999</v>
      </c>
      <c r="AB3" s="46">
        <v>1.661</v>
      </c>
      <c r="AC3" s="46">
        <v>1.64</v>
      </c>
      <c r="AD3" s="47">
        <v>1.7569999999999999</v>
      </c>
      <c r="AE3" s="9"/>
      <c r="AF3" s="9"/>
    </row>
    <row r="4" spans="1:32">
      <c r="A4" s="9"/>
      <c r="B4" s="9"/>
      <c r="C4" s="9"/>
      <c r="D4" s="9"/>
      <c r="E4" s="9"/>
      <c r="F4" s="9"/>
      <c r="G4" s="9"/>
      <c r="H4" s="9"/>
      <c r="I4" s="9"/>
      <c r="J4" s="9"/>
      <c r="K4" s="48" t="s">
        <v>159</v>
      </c>
      <c r="L4" s="25">
        <v>20.089999999999996</v>
      </c>
      <c r="M4" s="25">
        <v>17.326999999999995</v>
      </c>
      <c r="N4" s="25">
        <v>16.429000000000002</v>
      </c>
      <c r="O4" s="25">
        <v>15.164000000000005</v>
      </c>
      <c r="P4" s="38">
        <v>13.898999999999997</v>
      </c>
      <c r="Q4" s="9"/>
      <c r="R4" s="48" t="s">
        <v>168</v>
      </c>
      <c r="S4" s="46">
        <v>78.45</v>
      </c>
      <c r="T4" s="46">
        <v>81.058000000000007</v>
      </c>
      <c r="U4" s="46">
        <v>81.991</v>
      </c>
      <c r="V4" s="46">
        <v>83.123999999999995</v>
      </c>
      <c r="W4" s="47">
        <v>84.322000000000003</v>
      </c>
      <c r="X4" s="9"/>
      <c r="Y4" s="48" t="s">
        <v>154</v>
      </c>
      <c r="Z4" s="46">
        <v>1.46</v>
      </c>
      <c r="AA4" s="46">
        <v>1.615</v>
      </c>
      <c r="AB4" s="46">
        <v>1.58</v>
      </c>
      <c r="AC4" s="46">
        <v>1.712</v>
      </c>
      <c r="AD4" s="47">
        <v>1.7789999999999999</v>
      </c>
      <c r="AE4" s="9"/>
      <c r="AF4" s="9"/>
    </row>
    <row r="5" spans="1:32">
      <c r="A5" s="9"/>
      <c r="B5" s="9"/>
      <c r="C5" s="9"/>
      <c r="D5" s="9"/>
      <c r="E5" s="9"/>
      <c r="F5" s="9"/>
      <c r="G5" s="9"/>
      <c r="H5" s="9"/>
      <c r="I5" s="9"/>
      <c r="J5" s="9"/>
      <c r="K5" s="48" t="s">
        <v>159</v>
      </c>
      <c r="L5" s="25">
        <v>20.508000000000006</v>
      </c>
      <c r="M5" s="25">
        <v>17.819999999999997</v>
      </c>
      <c r="N5" s="25">
        <v>16.736000000000001</v>
      </c>
      <c r="O5" s="25">
        <v>15.659000000000002</v>
      </c>
      <c r="P5" s="38">
        <v>14.167000000000005</v>
      </c>
      <c r="Q5" s="9"/>
      <c r="R5" s="48" t="s">
        <v>168</v>
      </c>
      <c r="S5" s="46">
        <v>77.989999999999995</v>
      </c>
      <c r="T5" s="46">
        <v>80.605000000000004</v>
      </c>
      <c r="U5" s="46">
        <v>81.64</v>
      </c>
      <c r="V5" s="46">
        <v>82.695999999999998</v>
      </c>
      <c r="W5" s="47">
        <v>84.123999999999995</v>
      </c>
      <c r="X5" s="9"/>
      <c r="Y5" s="48" t="s">
        <v>154</v>
      </c>
      <c r="Z5" s="46">
        <v>1.502</v>
      </c>
      <c r="AA5" s="46">
        <v>1.575</v>
      </c>
      <c r="AB5" s="46">
        <v>1.6240000000000001</v>
      </c>
      <c r="AC5" s="46">
        <v>1.645</v>
      </c>
      <c r="AD5" s="47">
        <v>1.7090000000000001</v>
      </c>
      <c r="AE5" s="9"/>
      <c r="AF5" s="9"/>
    </row>
    <row r="6" spans="1:32">
      <c r="A6" s="9"/>
      <c r="B6" s="9"/>
      <c r="C6" s="9"/>
      <c r="D6" s="9"/>
      <c r="E6" s="9"/>
      <c r="F6" s="9"/>
      <c r="G6" s="9"/>
      <c r="H6" s="9"/>
      <c r="I6" s="9"/>
      <c r="J6" s="9"/>
      <c r="K6" s="48" t="s">
        <v>155</v>
      </c>
      <c r="L6" s="25">
        <v>19.599999999999998</v>
      </c>
      <c r="M6" s="25">
        <v>17.283999999999999</v>
      </c>
      <c r="N6" s="25">
        <v>17.658999999999999</v>
      </c>
      <c r="O6" s="25">
        <v>16.167999999999992</v>
      </c>
      <c r="P6" s="38">
        <v>13.179</v>
      </c>
      <c r="Q6" s="9"/>
      <c r="R6" s="48" t="s">
        <v>155</v>
      </c>
      <c r="S6" s="46">
        <v>78.965000000000003</v>
      </c>
      <c r="T6" s="10">
        <v>81.113</v>
      </c>
      <c r="U6" s="46">
        <v>80.738</v>
      </c>
      <c r="V6" s="46">
        <v>82.165000000000006</v>
      </c>
      <c r="W6" s="47">
        <v>85.012</v>
      </c>
      <c r="X6" s="9"/>
      <c r="Y6" s="48" t="s">
        <v>155</v>
      </c>
      <c r="Z6" s="46">
        <v>1.4350000000000001</v>
      </c>
      <c r="AA6" s="46">
        <v>1.603</v>
      </c>
      <c r="AB6" s="46">
        <v>1.603</v>
      </c>
      <c r="AC6" s="46">
        <v>1.667</v>
      </c>
      <c r="AD6" s="47">
        <v>1.8089999999999999</v>
      </c>
      <c r="AE6" s="9"/>
      <c r="AF6" s="9"/>
    </row>
    <row r="7" spans="1:32">
      <c r="A7" s="9"/>
      <c r="B7" s="9"/>
      <c r="C7" s="9"/>
      <c r="D7" s="9"/>
      <c r="E7" s="9"/>
      <c r="F7" s="9"/>
      <c r="G7" s="9"/>
      <c r="H7" s="9"/>
      <c r="I7" s="9"/>
      <c r="J7" s="9"/>
      <c r="K7" s="48" t="s">
        <v>155</v>
      </c>
      <c r="L7" s="25">
        <v>20.127999999999997</v>
      </c>
      <c r="M7" s="25">
        <v>17.465000000000003</v>
      </c>
      <c r="N7" s="25">
        <v>17.166000000000004</v>
      </c>
      <c r="O7" s="25">
        <v>16.977999999999994</v>
      </c>
      <c r="P7" s="38">
        <v>14.217000000000002</v>
      </c>
      <c r="Q7" s="9"/>
      <c r="R7" s="48" t="s">
        <v>155</v>
      </c>
      <c r="S7" s="10">
        <v>78.435000000000002</v>
      </c>
      <c r="T7" s="46">
        <v>80.924999999999997</v>
      </c>
      <c r="U7" s="46">
        <v>81.239999999999995</v>
      </c>
      <c r="V7" s="46">
        <v>81.358000000000004</v>
      </c>
      <c r="W7" s="47">
        <v>84.08</v>
      </c>
      <c r="X7" s="9"/>
      <c r="Y7" s="48" t="s">
        <v>155</v>
      </c>
      <c r="Z7" s="46">
        <v>1.4370000000000001</v>
      </c>
      <c r="AA7" s="46">
        <v>1.61</v>
      </c>
      <c r="AB7" s="46">
        <v>1.5940000000000001</v>
      </c>
      <c r="AC7" s="46">
        <v>1.6639999999999999</v>
      </c>
      <c r="AD7" s="47">
        <v>1.7030000000000001</v>
      </c>
      <c r="AE7" s="9"/>
      <c r="AF7" s="9"/>
    </row>
    <row r="8" spans="1:32">
      <c r="A8" s="9"/>
      <c r="B8" s="9"/>
      <c r="C8" s="9"/>
      <c r="D8" s="9"/>
      <c r="E8" s="9"/>
      <c r="F8" s="9"/>
      <c r="G8" s="9"/>
      <c r="H8" s="9"/>
      <c r="I8" s="9"/>
      <c r="J8" s="9"/>
      <c r="K8" s="48" t="s">
        <v>155</v>
      </c>
      <c r="L8" s="25">
        <v>20.963000000000001</v>
      </c>
      <c r="M8" s="25">
        <v>16.357999999999997</v>
      </c>
      <c r="N8" s="25">
        <v>16.754999999999995</v>
      </c>
      <c r="O8" s="25">
        <v>16.644000000000002</v>
      </c>
      <c r="P8" s="38">
        <v>13.764000000000006</v>
      </c>
      <c r="Q8" s="9"/>
      <c r="R8" s="48" t="s">
        <v>155</v>
      </c>
      <c r="S8" s="46">
        <v>77.600999999999999</v>
      </c>
      <c r="T8" s="46">
        <v>82.102000000000004</v>
      </c>
      <c r="U8" s="46">
        <v>81.599000000000004</v>
      </c>
      <c r="V8" s="46">
        <v>81.710999999999999</v>
      </c>
      <c r="W8" s="47">
        <v>84.471999999999994</v>
      </c>
      <c r="X8" s="9"/>
      <c r="Y8" s="48" t="s">
        <v>155</v>
      </c>
      <c r="Z8" s="46">
        <v>1.4359999999999999</v>
      </c>
      <c r="AA8" s="46">
        <v>1.54</v>
      </c>
      <c r="AB8" s="46">
        <v>1.6459999999999999</v>
      </c>
      <c r="AC8" s="46">
        <v>1.645</v>
      </c>
      <c r="AD8" s="47">
        <v>1.764</v>
      </c>
      <c r="AE8" s="9"/>
      <c r="AF8" s="9"/>
    </row>
    <row r="9" spans="1:32">
      <c r="A9" s="9"/>
      <c r="B9" s="9"/>
      <c r="C9" s="9"/>
      <c r="D9" s="9"/>
      <c r="E9" s="9"/>
      <c r="F9" s="9"/>
      <c r="G9" s="9"/>
      <c r="H9" s="9"/>
      <c r="I9" s="9"/>
      <c r="J9" s="9"/>
      <c r="K9" s="48" t="s">
        <v>160</v>
      </c>
      <c r="L9" s="25">
        <v>19.884000000000004</v>
      </c>
      <c r="M9" s="25">
        <v>19.247999999999994</v>
      </c>
      <c r="N9" s="25">
        <v>18.329999999999991</v>
      </c>
      <c r="O9" s="25">
        <v>18.250999999999998</v>
      </c>
      <c r="P9" s="38">
        <v>16.632999999999996</v>
      </c>
      <c r="Q9" s="9"/>
      <c r="R9" s="48" t="s">
        <v>169</v>
      </c>
      <c r="S9" s="46">
        <v>78.632999999999996</v>
      </c>
      <c r="T9" s="46">
        <v>79.248000000000005</v>
      </c>
      <c r="U9" s="46">
        <v>80.121000000000009</v>
      </c>
      <c r="V9" s="46">
        <v>80.146000000000001</v>
      </c>
      <c r="W9" s="49">
        <v>81.644000000000005</v>
      </c>
      <c r="X9" s="9"/>
      <c r="Y9" s="48" t="s">
        <v>156</v>
      </c>
      <c r="Z9" s="46">
        <v>1.4830000000000001</v>
      </c>
      <c r="AA9" s="46">
        <v>1.504</v>
      </c>
      <c r="AB9" s="46">
        <v>1.5489999999999999</v>
      </c>
      <c r="AC9" s="46">
        <v>1.603</v>
      </c>
      <c r="AD9" s="47">
        <v>1.7230000000000001</v>
      </c>
      <c r="AE9" s="9"/>
      <c r="AF9" s="9"/>
    </row>
    <row r="10" spans="1:32">
      <c r="A10" s="9"/>
      <c r="B10" s="9"/>
      <c r="C10" s="9"/>
      <c r="D10" s="9"/>
      <c r="E10" s="9"/>
      <c r="F10" s="9"/>
      <c r="G10" s="9"/>
      <c r="H10" s="9"/>
      <c r="I10" s="9"/>
      <c r="J10" s="9"/>
      <c r="K10" s="48" t="s">
        <v>160</v>
      </c>
      <c r="L10" s="25">
        <v>19.745999999999999</v>
      </c>
      <c r="M10" s="25">
        <v>19.262999999999998</v>
      </c>
      <c r="N10" s="25">
        <v>17.928999999999991</v>
      </c>
      <c r="O10" s="25">
        <v>18.701999999999998</v>
      </c>
      <c r="P10" s="38">
        <v>15.997999999999999</v>
      </c>
      <c r="Q10" s="9"/>
      <c r="R10" s="48" t="s">
        <v>169</v>
      </c>
      <c r="S10" s="46">
        <v>78.804000000000002</v>
      </c>
      <c r="T10" s="46">
        <v>79.215000000000003</v>
      </c>
      <c r="U10" s="46">
        <v>80.490000000000009</v>
      </c>
      <c r="V10" s="46">
        <v>79.658000000000001</v>
      </c>
      <c r="W10" s="47">
        <v>82.256</v>
      </c>
      <c r="X10" s="9"/>
      <c r="Y10" s="48" t="s">
        <v>156</v>
      </c>
      <c r="Z10" s="46">
        <v>1.45</v>
      </c>
      <c r="AA10" s="46">
        <v>1.522</v>
      </c>
      <c r="AB10" s="46">
        <v>1.581</v>
      </c>
      <c r="AC10" s="46">
        <v>1.64</v>
      </c>
      <c r="AD10" s="47">
        <v>1.746</v>
      </c>
      <c r="AE10" s="9"/>
      <c r="AF10" s="9"/>
    </row>
    <row r="11" spans="1:32">
      <c r="A11" s="9"/>
      <c r="B11" s="9"/>
      <c r="C11" s="9"/>
      <c r="D11" s="9"/>
      <c r="E11" s="9"/>
      <c r="F11" s="9"/>
      <c r="G11" s="9"/>
      <c r="H11" s="9"/>
      <c r="I11" s="9"/>
      <c r="J11" s="9"/>
      <c r="K11" s="48" t="s">
        <v>160</v>
      </c>
      <c r="L11" s="25">
        <v>19.548000000000005</v>
      </c>
      <c r="M11" s="25">
        <v>19.655000000000001</v>
      </c>
      <c r="N11" s="25">
        <v>17.875000000000004</v>
      </c>
      <c r="O11" s="25">
        <v>19.449999999999996</v>
      </c>
      <c r="P11" s="38">
        <v>16.684000000000005</v>
      </c>
      <c r="Q11" s="9"/>
      <c r="R11" s="48" t="s">
        <v>169</v>
      </c>
      <c r="S11" s="46">
        <v>78.944999999999993</v>
      </c>
      <c r="T11" s="46">
        <v>78.765000000000001</v>
      </c>
      <c r="U11" s="46">
        <v>80.537999999999997</v>
      </c>
      <c r="V11" s="46">
        <v>78.938000000000002</v>
      </c>
      <c r="W11" s="47">
        <v>81.617999999999995</v>
      </c>
      <c r="X11" s="9"/>
      <c r="Y11" s="50" t="s">
        <v>156</v>
      </c>
      <c r="Z11" s="51">
        <v>1.5069999999999999</v>
      </c>
      <c r="AA11" s="51">
        <v>1.58</v>
      </c>
      <c r="AB11" s="46">
        <v>1.587</v>
      </c>
      <c r="AC11" s="46">
        <v>1.6120000000000001</v>
      </c>
      <c r="AD11" s="52">
        <v>1.698</v>
      </c>
      <c r="AE11" s="9"/>
      <c r="AF11" s="9"/>
    </row>
    <row r="12" spans="1:32">
      <c r="A12" s="9"/>
      <c r="B12" s="9"/>
      <c r="C12" s="9"/>
      <c r="D12" s="9"/>
      <c r="E12" s="9"/>
      <c r="F12" s="9"/>
      <c r="G12" s="9"/>
      <c r="H12" s="9"/>
      <c r="I12" s="9"/>
      <c r="J12" s="9"/>
      <c r="K12" s="48" t="s">
        <v>161</v>
      </c>
      <c r="L12" s="25">
        <v>19.421000000000003</v>
      </c>
      <c r="M12" s="25">
        <v>19.103000000000005</v>
      </c>
      <c r="N12" s="25">
        <v>19.713000000000001</v>
      </c>
      <c r="O12" s="25">
        <v>19.611999999999998</v>
      </c>
      <c r="P12" s="38">
        <v>19.021999999999998</v>
      </c>
      <c r="Q12" s="9"/>
      <c r="R12" s="48" t="s">
        <v>170</v>
      </c>
      <c r="S12" s="46">
        <v>79.070999999999998</v>
      </c>
      <c r="T12" s="46">
        <v>79.394999999999996</v>
      </c>
      <c r="U12" s="46">
        <v>78.747</v>
      </c>
      <c r="V12" s="46">
        <v>78.768000000000001</v>
      </c>
      <c r="W12" s="47">
        <v>79.283000000000001</v>
      </c>
      <c r="X12" s="9"/>
      <c r="Y12" s="48" t="s">
        <v>157</v>
      </c>
      <c r="Z12" s="46">
        <v>1.508</v>
      </c>
      <c r="AA12" s="46">
        <v>1.502</v>
      </c>
      <c r="AB12" s="46">
        <v>1.54</v>
      </c>
      <c r="AC12" s="46">
        <v>1.62</v>
      </c>
      <c r="AD12" s="47">
        <v>1.6950000000000001</v>
      </c>
      <c r="AE12" s="9"/>
      <c r="AF12" s="9"/>
    </row>
    <row r="13" spans="1:32">
      <c r="A13" s="9"/>
      <c r="B13" s="9"/>
      <c r="C13" s="9"/>
      <c r="D13" s="9"/>
      <c r="E13" s="9"/>
      <c r="F13" s="9"/>
      <c r="G13" s="9"/>
      <c r="H13" s="9"/>
      <c r="I13" s="9"/>
      <c r="J13" s="9"/>
      <c r="K13" s="48" t="s">
        <v>161</v>
      </c>
      <c r="L13" s="25">
        <v>19.735000000000003</v>
      </c>
      <c r="M13" s="25">
        <v>18.569999999999997</v>
      </c>
      <c r="N13" s="25">
        <v>20.443999999999996</v>
      </c>
      <c r="O13" s="25">
        <v>19.641999999999992</v>
      </c>
      <c r="P13" s="38">
        <v>17.765000000000001</v>
      </c>
      <c r="Q13" s="9"/>
      <c r="R13" s="48" t="s">
        <v>170</v>
      </c>
      <c r="S13" s="46">
        <v>78.760999999999996</v>
      </c>
      <c r="T13" s="46">
        <v>79.92</v>
      </c>
      <c r="U13" s="46">
        <v>77.977000000000004</v>
      </c>
      <c r="V13" s="46">
        <v>78.796000000000006</v>
      </c>
      <c r="W13" s="47">
        <v>80.582999999999998</v>
      </c>
      <c r="X13" s="9"/>
      <c r="Y13" s="53" t="s">
        <v>157</v>
      </c>
      <c r="Z13" s="51">
        <v>1.504</v>
      </c>
      <c r="AA13" s="46">
        <v>1.51</v>
      </c>
      <c r="AB13" s="51">
        <v>1.579</v>
      </c>
      <c r="AC13" s="51">
        <v>1.5620000000000001</v>
      </c>
      <c r="AD13" s="52">
        <v>1.6519999999999999</v>
      </c>
      <c r="AE13" s="9"/>
      <c r="AF13" s="9"/>
    </row>
    <row r="14" spans="1:32">
      <c r="A14" s="9"/>
      <c r="B14" s="9"/>
      <c r="C14" s="9"/>
      <c r="D14" s="9"/>
      <c r="E14" s="9"/>
      <c r="F14" s="9"/>
      <c r="G14" s="9"/>
      <c r="H14" s="9"/>
      <c r="I14" s="9"/>
      <c r="J14" s="9"/>
      <c r="K14" s="48" t="s">
        <v>161</v>
      </c>
      <c r="L14" s="25">
        <v>20.176999999999992</v>
      </c>
      <c r="M14" s="25">
        <v>19.193999999999999</v>
      </c>
      <c r="N14" s="25">
        <v>19.238000000000003</v>
      </c>
      <c r="O14" s="25">
        <v>20.446999999999996</v>
      </c>
      <c r="P14" s="38">
        <v>19.856999999999999</v>
      </c>
      <c r="Q14" s="9"/>
      <c r="R14" s="48" t="s">
        <v>170</v>
      </c>
      <c r="S14" s="46">
        <v>78.299000000000007</v>
      </c>
      <c r="T14" s="46">
        <v>79.301000000000002</v>
      </c>
      <c r="U14" s="46">
        <v>79.19</v>
      </c>
      <c r="V14" s="46">
        <v>77.956000000000003</v>
      </c>
      <c r="W14" s="49">
        <v>78.512</v>
      </c>
      <c r="X14" s="9"/>
      <c r="Y14" s="54" t="s">
        <v>157</v>
      </c>
      <c r="Z14" s="51">
        <v>1.524</v>
      </c>
      <c r="AA14" s="51">
        <v>1.5049999999999999</v>
      </c>
      <c r="AB14" s="51">
        <v>1.5720000000000001</v>
      </c>
      <c r="AC14" s="51">
        <v>1.597</v>
      </c>
      <c r="AD14" s="52">
        <v>1.631</v>
      </c>
      <c r="AE14" s="9"/>
      <c r="AF14" s="9"/>
    </row>
    <row r="15" spans="1:32">
      <c r="A15" s="9"/>
      <c r="B15" s="9"/>
      <c r="C15" s="9"/>
      <c r="D15" s="9"/>
      <c r="E15" s="9"/>
      <c r="F15" s="9"/>
      <c r="G15" s="9"/>
      <c r="H15" s="9"/>
      <c r="I15" s="9"/>
      <c r="J15" s="9"/>
      <c r="K15" s="48" t="s">
        <v>162</v>
      </c>
      <c r="L15" s="25">
        <v>19.988999999999994</v>
      </c>
      <c r="M15" s="25">
        <v>19.848999999999997</v>
      </c>
      <c r="N15" s="25">
        <v>19.710999999999995</v>
      </c>
      <c r="O15" s="25">
        <v>18.440999999999995</v>
      </c>
      <c r="P15" s="38">
        <v>16.759999999999994</v>
      </c>
      <c r="Q15" s="9"/>
      <c r="R15" s="48" t="s">
        <v>171</v>
      </c>
      <c r="S15" s="46">
        <v>78.558000000000007</v>
      </c>
      <c r="T15" s="46">
        <v>78.551000000000002</v>
      </c>
      <c r="U15" s="46">
        <v>78.668000000000006</v>
      </c>
      <c r="V15" s="46">
        <v>79.897000000000006</v>
      </c>
      <c r="W15" s="47">
        <v>81.552000000000007</v>
      </c>
      <c r="X15" s="9"/>
      <c r="Y15" s="48" t="s">
        <v>172</v>
      </c>
      <c r="Z15" s="46">
        <v>1.4530000000000001</v>
      </c>
      <c r="AA15" s="46">
        <v>1.6</v>
      </c>
      <c r="AB15" s="46">
        <v>1.621</v>
      </c>
      <c r="AC15" s="46">
        <v>1.6619999999999999</v>
      </c>
      <c r="AD15" s="47">
        <v>1.6879999999999999</v>
      </c>
      <c r="AE15" s="9"/>
      <c r="AF15" s="9"/>
    </row>
    <row r="16" spans="1:32">
      <c r="A16" s="9"/>
      <c r="B16" s="9"/>
      <c r="C16" s="9"/>
      <c r="D16" s="9"/>
      <c r="E16" s="9"/>
      <c r="F16" s="9"/>
      <c r="G16" s="9"/>
      <c r="H16" s="9"/>
      <c r="I16" s="9"/>
      <c r="J16" s="9"/>
      <c r="K16" s="48" t="s">
        <v>162</v>
      </c>
      <c r="L16" s="25">
        <v>19.850000000000005</v>
      </c>
      <c r="M16" s="25">
        <v>20.234999999999999</v>
      </c>
      <c r="N16" s="25">
        <v>20.561000000000007</v>
      </c>
      <c r="O16" s="25">
        <v>18.922999999999998</v>
      </c>
      <c r="P16" s="38">
        <v>18.175000000000004</v>
      </c>
      <c r="Q16" s="9"/>
      <c r="R16" s="48" t="s">
        <v>171</v>
      </c>
      <c r="S16" s="46">
        <v>78.650999999999996</v>
      </c>
      <c r="T16" s="46">
        <v>78.14</v>
      </c>
      <c r="U16" s="46">
        <v>77.858999999999995</v>
      </c>
      <c r="V16" s="46">
        <v>79.435000000000002</v>
      </c>
      <c r="W16" s="47">
        <v>80.147999999999996</v>
      </c>
      <c r="X16" s="9"/>
      <c r="Y16" s="48" t="s">
        <v>158</v>
      </c>
      <c r="Z16" s="46">
        <v>1.4990000000000001</v>
      </c>
      <c r="AA16" s="46">
        <v>1.625</v>
      </c>
      <c r="AB16" s="46">
        <v>1.58</v>
      </c>
      <c r="AC16" s="46">
        <v>1.6419999999999999</v>
      </c>
      <c r="AD16" s="47">
        <v>1.677</v>
      </c>
      <c r="AE16" s="9"/>
      <c r="AF16" s="9"/>
    </row>
    <row r="17" spans="1:32" ht="14.4" thickBot="1">
      <c r="A17" s="9"/>
      <c r="B17" s="9"/>
      <c r="C17" s="9"/>
      <c r="D17" s="9"/>
      <c r="E17" s="9"/>
      <c r="F17" s="9"/>
      <c r="G17" s="9"/>
      <c r="H17" s="9"/>
      <c r="I17" s="9"/>
      <c r="J17" s="9"/>
      <c r="K17" s="55" t="s">
        <v>162</v>
      </c>
      <c r="L17" s="37">
        <v>21.754000000000005</v>
      </c>
      <c r="M17" s="37">
        <v>20.927000000000003</v>
      </c>
      <c r="N17" s="37">
        <v>19.052000000000007</v>
      </c>
      <c r="O17" s="37">
        <v>18.885000000000002</v>
      </c>
      <c r="P17" s="39">
        <v>17.890999999999998</v>
      </c>
      <c r="Q17" s="9"/>
      <c r="R17" s="55" t="s">
        <v>171</v>
      </c>
      <c r="S17" s="56">
        <v>78.245999999999995</v>
      </c>
      <c r="T17" s="56">
        <v>77.528999999999996</v>
      </c>
      <c r="U17" s="56">
        <v>79.355999999999995</v>
      </c>
      <c r="V17" s="56">
        <v>79.460999999999999</v>
      </c>
      <c r="W17" s="57">
        <v>80.381</v>
      </c>
      <c r="X17" s="9"/>
      <c r="Y17" s="55" t="s">
        <v>158</v>
      </c>
      <c r="Z17" s="56"/>
      <c r="AA17" s="56">
        <v>1.544</v>
      </c>
      <c r="AB17" s="56">
        <v>1.5920000000000001</v>
      </c>
      <c r="AC17" s="56">
        <v>1.6539999999999999</v>
      </c>
      <c r="AD17" s="57">
        <v>1.728</v>
      </c>
      <c r="AE17" s="9"/>
      <c r="AF17" s="9"/>
    </row>
    <row r="18" spans="1:3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</row>
    <row r="19" spans="1:3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</row>
    <row r="20" spans="1:3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</row>
    <row r="21" spans="1:3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</row>
    <row r="22" spans="1:3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</row>
    <row r="23" spans="1:3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</row>
    <row r="24" spans="1:3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</row>
    <row r="25" spans="1:3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</row>
    <row r="26" spans="1:3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</row>
    <row r="27" spans="1:3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</row>
    <row r="28" spans="1:3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</row>
    <row r="29" spans="1:3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</row>
    <row r="30" spans="1:3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</row>
    <row r="31" spans="1:3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3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3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3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1:3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1:3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1:3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1:3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1:3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1:3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1:3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  <row r="45" spans="1:3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</row>
    <row r="46" spans="1:3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3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</row>
    <row r="49" spans="1:3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</row>
    <row r="50" spans="1:3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2" ht="16.2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 ht="16.2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</row>
    <row r="61" spans="1:32" ht="16.2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 ht="16.2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2" ht="16.2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 ht="16.2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1:3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1:3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1:3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</sheetData>
  <phoneticPr fontId="1" type="noConversion"/>
  <conditionalFormatting sqref="T13:T14">
    <cfRule type="colorScale" priority="8">
      <colorScale>
        <cfvo type="min"/>
        <cfvo type="max"/>
        <color rgb="FFFCFCFF"/>
        <color rgb="FF63BE7B"/>
      </colorScale>
    </cfRule>
  </conditionalFormatting>
  <conditionalFormatting sqref="V3:V5">
    <cfRule type="colorScale" priority="7">
      <colorScale>
        <cfvo type="min"/>
        <cfvo type="max"/>
        <color rgb="FFFCFCFF"/>
        <color rgb="FF63BE7B"/>
      </colorScale>
    </cfRule>
  </conditionalFormatting>
  <conditionalFormatting sqref="S8">
    <cfRule type="colorScale" priority="6">
      <colorScale>
        <cfvo type="min"/>
        <cfvo type="max"/>
        <color rgb="FFFCFCFF"/>
        <color rgb="FF63BE7B"/>
      </colorScale>
    </cfRule>
  </conditionalFormatting>
  <conditionalFormatting sqref="S9">
    <cfRule type="colorScale" priority="5">
      <colorScale>
        <cfvo type="min"/>
        <cfvo type="max"/>
        <color rgb="FFFCFCFF"/>
        <color rgb="FF63BE7B"/>
      </colorScale>
    </cfRule>
  </conditionalFormatting>
  <conditionalFormatting sqref="T12">
    <cfRule type="colorScale" priority="4">
      <colorScale>
        <cfvo type="min"/>
        <cfvo type="max"/>
        <color rgb="FFFCFCFF"/>
        <color rgb="FF63BE7B"/>
      </colorScale>
    </cfRule>
  </conditionalFormatting>
  <conditionalFormatting sqref="T15:T17 T3:T5 T9:T11">
    <cfRule type="colorScale" priority="9">
      <colorScale>
        <cfvo type="min"/>
        <cfvo type="max"/>
        <color rgb="FFFCFCFF"/>
        <color rgb="FF63BE7B"/>
      </colorScale>
    </cfRule>
  </conditionalFormatting>
  <conditionalFormatting sqref="U8:U17 S10:S17 W12:W17 S3:S5 U6:W7 V8:W8 U3:U5 W3:W5 V9:V17">
    <cfRule type="colorScale" priority="10">
      <colorScale>
        <cfvo type="min"/>
        <cfvo type="max"/>
        <color rgb="FFFCFCFF"/>
        <color rgb="FF63BE7B"/>
      </colorScale>
    </cfRule>
  </conditionalFormatting>
  <conditionalFormatting sqref="S6:S7">
    <cfRule type="colorScale" priority="11">
      <colorScale>
        <cfvo type="min"/>
        <cfvo type="max"/>
        <color rgb="FFFCFCFF"/>
        <color rgb="FF63BE7B"/>
      </colorScale>
    </cfRule>
  </conditionalFormatting>
  <conditionalFormatting sqref="W9:W11">
    <cfRule type="colorScale" priority="12">
      <colorScale>
        <cfvo type="min"/>
        <cfvo type="max"/>
        <color rgb="FFFCFCFF"/>
        <color rgb="FF63BE7B"/>
      </colorScale>
    </cfRule>
  </conditionalFormatting>
  <conditionalFormatting sqref="T6:T8">
    <cfRule type="colorScale" priority="13">
      <colorScale>
        <cfvo type="min"/>
        <cfvo type="max"/>
        <color rgb="FFFCFCFF"/>
        <color rgb="FF63BE7B"/>
      </colorScale>
    </cfRule>
  </conditionalFormatting>
  <conditionalFormatting sqref="Z3:AD17">
    <cfRule type="colorScale" priority="2">
      <colorScale>
        <cfvo type="min"/>
        <cfvo type="max"/>
        <color rgb="FFFCFCFF"/>
        <color rgb="FF63BE7B"/>
      </colorScale>
    </cfRule>
  </conditionalFormatting>
  <conditionalFormatting sqref="L3:P1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>
              <from>
                <xdr:col>16</xdr:col>
                <xdr:colOff>487680</xdr:colOff>
                <xdr:row>4</xdr:row>
                <xdr:rowOff>30480</xdr:rowOff>
              </from>
              <to>
                <xdr:col>18</xdr:col>
                <xdr:colOff>556260</xdr:colOff>
                <xdr:row>7</xdr:row>
                <xdr:rowOff>160020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8"/>
  <sheetViews>
    <sheetView workbookViewId="0">
      <selection activeCell="A2" sqref="A2:K7"/>
    </sheetView>
  </sheetViews>
  <sheetFormatPr defaultRowHeight="13.8"/>
  <cols>
    <col min="1" max="1" width="8.88671875" style="9"/>
    <col min="2" max="11" width="5.6640625" customWidth="1"/>
    <col min="12" max="12" width="7.6640625" customWidth="1"/>
    <col min="13" max="13" width="6.6640625" customWidth="1"/>
    <col min="14" max="14" width="7.6640625" customWidth="1"/>
    <col min="15" max="15" width="6.6640625" customWidth="1"/>
    <col min="16" max="16" width="7.6640625" customWidth="1"/>
    <col min="17" max="17" width="6.6640625" customWidth="1"/>
    <col min="18" max="18" width="7.6640625" customWidth="1"/>
    <col min="19" max="19" width="6.6640625" customWidth="1"/>
    <col min="20" max="20" width="7.6640625" customWidth="1"/>
    <col min="21" max="31" width="6.6640625" customWidth="1"/>
  </cols>
  <sheetData>
    <row r="2" spans="1:11" s="9" customFormat="1">
      <c r="B2" s="13" t="s">
        <v>42</v>
      </c>
      <c r="C2" s="32" t="s">
        <v>33</v>
      </c>
      <c r="D2" s="32" t="s">
        <v>40</v>
      </c>
      <c r="E2" s="32" t="s">
        <v>33</v>
      </c>
      <c r="F2" s="32" t="s">
        <v>41</v>
      </c>
      <c r="G2" s="32" t="s">
        <v>33</v>
      </c>
      <c r="H2" s="32" t="s">
        <v>54</v>
      </c>
      <c r="I2" s="32" t="s">
        <v>33</v>
      </c>
      <c r="J2" s="32" t="s">
        <v>65</v>
      </c>
      <c r="K2" s="32" t="s">
        <v>33</v>
      </c>
    </row>
    <row r="3" spans="1:11">
      <c r="A3" s="13" t="s">
        <v>159</v>
      </c>
      <c r="B3" s="12">
        <v>1.48</v>
      </c>
      <c r="C3" s="12">
        <v>0.02</v>
      </c>
      <c r="D3" s="12">
        <v>1.57</v>
      </c>
      <c r="E3" s="12">
        <v>0.03</v>
      </c>
      <c r="F3" s="12">
        <v>1.62</v>
      </c>
      <c r="G3" s="12">
        <v>0.03</v>
      </c>
      <c r="H3" s="12">
        <v>1.67</v>
      </c>
      <c r="I3" s="12">
        <v>0.03</v>
      </c>
      <c r="J3" s="12">
        <v>1.75</v>
      </c>
      <c r="K3" s="12">
        <v>0.03</v>
      </c>
    </row>
    <row r="4" spans="1:11">
      <c r="A4" s="32" t="s">
        <v>155</v>
      </c>
      <c r="B4" s="12">
        <v>1.44</v>
      </c>
      <c r="C4" s="12">
        <v>0</v>
      </c>
      <c r="D4" s="12">
        <v>1.58</v>
      </c>
      <c r="E4" s="12">
        <v>0.03</v>
      </c>
      <c r="F4" s="12">
        <v>1.61</v>
      </c>
      <c r="G4" s="12">
        <v>0.02</v>
      </c>
      <c r="H4" s="12">
        <v>1.66</v>
      </c>
      <c r="I4" s="12">
        <v>0.01</v>
      </c>
      <c r="J4" s="12">
        <v>1.76</v>
      </c>
      <c r="K4" s="12">
        <v>0.04</v>
      </c>
    </row>
    <row r="5" spans="1:11">
      <c r="A5" s="32" t="s">
        <v>160</v>
      </c>
      <c r="B5" s="12">
        <v>1.48</v>
      </c>
      <c r="C5" s="12">
        <v>0.02</v>
      </c>
      <c r="D5" s="12">
        <v>1.54</v>
      </c>
      <c r="E5" s="12">
        <v>0.03</v>
      </c>
      <c r="F5" s="12">
        <v>1.57</v>
      </c>
      <c r="G5" s="12">
        <v>0.02</v>
      </c>
      <c r="H5" s="12">
        <v>1.62</v>
      </c>
      <c r="I5" s="12">
        <v>0.02</v>
      </c>
      <c r="J5" s="12">
        <v>1.72</v>
      </c>
      <c r="K5" s="12">
        <v>0.02</v>
      </c>
    </row>
    <row r="6" spans="1:11">
      <c r="A6" s="32" t="s">
        <v>161</v>
      </c>
      <c r="B6" s="12">
        <v>1.51</v>
      </c>
      <c r="C6" s="12">
        <v>0.01</v>
      </c>
      <c r="D6" s="12">
        <v>1.51</v>
      </c>
      <c r="E6" s="12">
        <v>0</v>
      </c>
      <c r="F6" s="12">
        <v>1.56</v>
      </c>
      <c r="G6" s="12">
        <v>0.02</v>
      </c>
      <c r="H6" s="12">
        <v>1.59</v>
      </c>
      <c r="I6" s="12">
        <v>0.02</v>
      </c>
      <c r="J6" s="12">
        <v>1.66</v>
      </c>
      <c r="K6" s="12">
        <v>0.03</v>
      </c>
    </row>
    <row r="7" spans="1:11">
      <c r="A7" s="32" t="s">
        <v>162</v>
      </c>
      <c r="B7" s="12">
        <v>1.48</v>
      </c>
      <c r="C7" s="12">
        <v>0.02</v>
      </c>
      <c r="D7" s="12">
        <v>1.59</v>
      </c>
      <c r="E7" s="12">
        <v>0.03</v>
      </c>
      <c r="F7" s="12">
        <v>1.6</v>
      </c>
      <c r="G7" s="12">
        <v>0.02</v>
      </c>
      <c r="H7" s="12">
        <v>1.65</v>
      </c>
      <c r="I7" s="12">
        <v>0.01</v>
      </c>
      <c r="J7" s="12">
        <v>1.7</v>
      </c>
      <c r="K7" s="12">
        <v>0.02</v>
      </c>
    </row>
    <row r="8" spans="1:11" ht="11.4" customHeight="1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4" r:id="rId3" name="transposition">
          <controlPr defaultSize="0" autoLine="0" autoPict="0" r:id="rId4">
            <anchor moveWithCells="1">
              <from>
                <xdr:col>3</xdr:col>
                <xdr:colOff>213360</xdr:colOff>
                <xdr:row>0</xdr:row>
                <xdr:rowOff>7620</xdr:rowOff>
              </from>
              <to>
                <xdr:col>5</xdr:col>
                <xdr:colOff>350520</xdr:colOff>
                <xdr:row>1</xdr:row>
                <xdr:rowOff>45720</xdr:rowOff>
              </to>
            </anchor>
          </controlPr>
        </control>
      </mc:Choice>
      <mc:Fallback>
        <control shapeId="18434" r:id="rId3" name="transposi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7"/>
  <sheetViews>
    <sheetView tabSelected="1" workbookViewId="0">
      <selection activeCell="O19" sqref="O19"/>
    </sheetView>
  </sheetViews>
  <sheetFormatPr defaultRowHeight="13.8"/>
  <cols>
    <col min="1" max="1" width="8.88671875" style="9"/>
  </cols>
  <sheetData>
    <row r="2" spans="1:11" s="9" customFormat="1">
      <c r="B2" s="9" t="s">
        <v>154</v>
      </c>
      <c r="D2" s="9" t="s">
        <v>198</v>
      </c>
      <c r="F2" s="9" t="s">
        <v>199</v>
      </c>
      <c r="H2" s="9" t="s">
        <v>200</v>
      </c>
      <c r="J2" s="9" t="s">
        <v>201</v>
      </c>
    </row>
    <row r="3" spans="1:11">
      <c r="A3" s="9" t="s">
        <v>137</v>
      </c>
      <c r="B3">
        <v>1.48</v>
      </c>
      <c r="C3">
        <v>0.02</v>
      </c>
      <c r="D3">
        <v>1.44</v>
      </c>
      <c r="E3">
        <v>0</v>
      </c>
      <c r="F3">
        <v>1.48</v>
      </c>
      <c r="G3">
        <v>0.02</v>
      </c>
      <c r="H3">
        <v>1.51</v>
      </c>
      <c r="I3">
        <v>0.01</v>
      </c>
      <c r="J3">
        <v>1.48</v>
      </c>
      <c r="K3">
        <v>0.02</v>
      </c>
    </row>
    <row r="4" spans="1:11">
      <c r="A4" s="9" t="s">
        <v>68</v>
      </c>
      <c r="B4">
        <v>1.57</v>
      </c>
      <c r="C4">
        <v>0.03</v>
      </c>
      <c r="D4">
        <v>1.58</v>
      </c>
      <c r="E4">
        <v>0.03</v>
      </c>
      <c r="F4">
        <v>1.54</v>
      </c>
      <c r="G4">
        <v>0.03</v>
      </c>
      <c r="H4">
        <v>1.51</v>
      </c>
      <c r="I4">
        <v>0</v>
      </c>
      <c r="J4">
        <v>1.59</v>
      </c>
      <c r="K4">
        <v>0.03</v>
      </c>
    </row>
    <row r="5" spans="1:11">
      <c r="A5" s="9" t="s">
        <v>195</v>
      </c>
      <c r="B5">
        <v>1.62</v>
      </c>
      <c r="C5">
        <v>0.03</v>
      </c>
      <c r="D5">
        <v>1.61</v>
      </c>
      <c r="E5">
        <v>0.02</v>
      </c>
      <c r="F5">
        <v>1.57</v>
      </c>
      <c r="G5">
        <v>0.02</v>
      </c>
      <c r="H5">
        <v>1.56</v>
      </c>
      <c r="I5">
        <v>0.02</v>
      </c>
      <c r="J5">
        <v>1.6</v>
      </c>
      <c r="K5">
        <v>0.02</v>
      </c>
    </row>
    <row r="6" spans="1:11">
      <c r="A6" s="9" t="s">
        <v>194</v>
      </c>
      <c r="B6">
        <v>1.67</v>
      </c>
      <c r="C6">
        <v>0.03</v>
      </c>
      <c r="D6">
        <v>1.66</v>
      </c>
      <c r="E6">
        <v>0.01</v>
      </c>
      <c r="F6">
        <v>1.62</v>
      </c>
      <c r="G6">
        <v>0.02</v>
      </c>
      <c r="H6">
        <v>1.59</v>
      </c>
      <c r="I6">
        <v>0.02</v>
      </c>
      <c r="J6">
        <v>1.65</v>
      </c>
      <c r="K6">
        <v>0.01</v>
      </c>
    </row>
    <row r="7" spans="1:11">
      <c r="A7" s="9" t="s">
        <v>141</v>
      </c>
      <c r="B7">
        <v>1.75</v>
      </c>
      <c r="C7">
        <v>0.03</v>
      </c>
      <c r="D7">
        <v>1.76</v>
      </c>
      <c r="E7">
        <v>0.04</v>
      </c>
      <c r="F7">
        <v>1.72</v>
      </c>
      <c r="G7">
        <v>0.02</v>
      </c>
      <c r="H7">
        <v>1.66</v>
      </c>
      <c r="I7">
        <v>0.03</v>
      </c>
      <c r="J7">
        <v>1.7</v>
      </c>
      <c r="K7">
        <v>0.02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7"/>
  <sheetViews>
    <sheetView workbookViewId="0">
      <selection activeCell="E10" sqref="E10"/>
    </sheetView>
  </sheetViews>
  <sheetFormatPr defaultRowHeight="13.8"/>
  <cols>
    <col min="1" max="1" width="8.88671875" style="9"/>
    <col min="2" max="6" width="9.77734375" customWidth="1"/>
    <col min="7" max="11" width="13" customWidth="1"/>
    <col min="12" max="12" width="11.88671875" customWidth="1"/>
    <col min="13" max="13" width="11.88671875" bestFit="1" customWidth="1"/>
    <col min="14" max="15" width="11.88671875" customWidth="1"/>
    <col min="16" max="16" width="11.88671875" bestFit="1" customWidth="1"/>
  </cols>
  <sheetData>
    <row r="1" spans="1:6" ht="28.2" customHeight="1"/>
    <row r="2" spans="1:6" s="9" customFormat="1">
      <c r="B2" s="13" t="s">
        <v>42</v>
      </c>
      <c r="C2" s="32" t="s">
        <v>40</v>
      </c>
      <c r="D2" s="32" t="s">
        <v>41</v>
      </c>
      <c r="E2" s="32" t="s">
        <v>54</v>
      </c>
      <c r="F2" s="32" t="s">
        <v>65</v>
      </c>
    </row>
    <row r="3" spans="1:6">
      <c r="A3" s="13" t="s">
        <v>159</v>
      </c>
      <c r="B3" s="35" t="s">
        <v>173</v>
      </c>
      <c r="C3" s="35" t="s">
        <v>174</v>
      </c>
      <c r="D3" s="35" t="s">
        <v>175</v>
      </c>
      <c r="E3" s="35" t="s">
        <v>176</v>
      </c>
      <c r="F3" s="35" t="s">
        <v>177</v>
      </c>
    </row>
    <row r="4" spans="1:6">
      <c r="A4" s="32" t="s">
        <v>155</v>
      </c>
      <c r="B4" s="35" t="s">
        <v>196</v>
      </c>
      <c r="C4" s="35" t="s">
        <v>178</v>
      </c>
      <c r="D4" s="35" t="s">
        <v>179</v>
      </c>
      <c r="E4" s="35" t="s">
        <v>180</v>
      </c>
      <c r="F4" s="35" t="s">
        <v>181</v>
      </c>
    </row>
    <row r="5" spans="1:6">
      <c r="A5" s="32" t="s">
        <v>160</v>
      </c>
      <c r="B5" s="35" t="s">
        <v>173</v>
      </c>
      <c r="C5" s="35" t="s">
        <v>182</v>
      </c>
      <c r="D5" s="35" t="s">
        <v>183</v>
      </c>
      <c r="E5" s="35" t="s">
        <v>184</v>
      </c>
      <c r="F5" s="35" t="s">
        <v>185</v>
      </c>
    </row>
    <row r="6" spans="1:6">
      <c r="A6" s="32" t="s">
        <v>161</v>
      </c>
      <c r="B6" s="35" t="s">
        <v>197</v>
      </c>
      <c r="C6" s="35" t="s">
        <v>186</v>
      </c>
      <c r="D6" s="35" t="s">
        <v>187</v>
      </c>
      <c r="E6" s="35" t="s">
        <v>188</v>
      </c>
      <c r="F6" s="35" t="s">
        <v>189</v>
      </c>
    </row>
    <row r="7" spans="1:6">
      <c r="A7" s="32" t="s">
        <v>162</v>
      </c>
      <c r="B7" s="35" t="s">
        <v>173</v>
      </c>
      <c r="C7" s="35" t="s">
        <v>190</v>
      </c>
      <c r="D7" s="35" t="s">
        <v>191</v>
      </c>
      <c r="E7" s="35" t="s">
        <v>192</v>
      </c>
      <c r="F7" s="35" t="s">
        <v>193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ranspose">
          <controlPr defaultSize="0" print="0" autoFill="0" autoLine="0" autoPict="0" r:id="rId4">
            <anchor moveWithCells="1">
              <from>
                <xdr:col>0</xdr:col>
                <xdr:colOff>152400</xdr:colOff>
                <xdr:row>0</xdr:row>
                <xdr:rowOff>30480</xdr:rowOff>
              </from>
              <to>
                <xdr:col>1</xdr:col>
                <xdr:colOff>426720</xdr:colOff>
                <xdr:row>0</xdr:row>
                <xdr:rowOff>297180</xdr:rowOff>
              </to>
            </anchor>
          </controlPr>
        </control>
      </mc:Choice>
      <mc:Fallback>
        <control shapeId="14338" r:id="rId3" name="Transpos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29"/>
  <sheetViews>
    <sheetView workbookViewId="0">
      <selection activeCell="I3" sqref="I3:I7"/>
    </sheetView>
  </sheetViews>
  <sheetFormatPr defaultRowHeight="13.8"/>
  <cols>
    <col min="1" max="1" width="8.88671875" style="33"/>
    <col min="2" max="16384" width="8.88671875" style="4"/>
  </cols>
  <sheetData>
    <row r="1" spans="1:15">
      <c r="H1" s="26"/>
      <c r="I1" s="26"/>
      <c r="J1" s="26"/>
      <c r="K1" s="26"/>
      <c r="L1" s="26"/>
      <c r="M1" s="26"/>
      <c r="N1" s="26"/>
      <c r="O1" s="26"/>
    </row>
    <row r="2" spans="1:15" ht="15">
      <c r="H2" s="26"/>
      <c r="I2" s="30"/>
      <c r="J2" t="s">
        <v>32</v>
      </c>
      <c r="K2" t="s">
        <v>31</v>
      </c>
      <c r="L2" s="26" t="s">
        <v>31</v>
      </c>
      <c r="M2" s="26" t="s">
        <v>31</v>
      </c>
      <c r="N2" s="26" t="s">
        <v>31</v>
      </c>
      <c r="O2" s="26"/>
    </row>
    <row r="3" spans="1:15">
      <c r="A3" s="33" t="s">
        <v>50</v>
      </c>
      <c r="B3" s="4" t="s">
        <v>30</v>
      </c>
      <c r="C3" s="4" t="s">
        <v>29</v>
      </c>
      <c r="D3" s="4" t="s">
        <v>28</v>
      </c>
      <c r="E3" s="4" t="s">
        <v>27</v>
      </c>
      <c r="F3" s="4" t="s">
        <v>26</v>
      </c>
      <c r="H3" s="26"/>
      <c r="I3" t="s">
        <v>60</v>
      </c>
      <c r="J3">
        <v>3.05565</v>
      </c>
      <c r="K3" t="s">
        <v>34</v>
      </c>
      <c r="L3"/>
      <c r="M3"/>
      <c r="N3"/>
      <c r="O3" s="26" t="str">
        <f t="shared" ref="O3:O8" si="0">CONCATENATE(K3,L3,M3,N3)</f>
        <v>A</v>
      </c>
    </row>
    <row r="4" spans="1:15">
      <c r="A4" s="13" t="s">
        <v>44</v>
      </c>
      <c r="B4" s="26" t="s">
        <v>34</v>
      </c>
      <c r="C4" s="26" t="s">
        <v>34</v>
      </c>
      <c r="D4" s="26" t="s">
        <v>34</v>
      </c>
      <c r="E4" s="26" t="s">
        <v>34</v>
      </c>
      <c r="F4" s="26" t="s">
        <v>34</v>
      </c>
      <c r="H4" s="26"/>
      <c r="I4" t="s">
        <v>61</v>
      </c>
      <c r="J4">
        <v>2.9693900000000002</v>
      </c>
      <c r="K4" t="s">
        <v>34</v>
      </c>
      <c r="L4" t="s">
        <v>35</v>
      </c>
      <c r="M4"/>
      <c r="N4"/>
      <c r="O4" s="26" t="str">
        <f t="shared" si="0"/>
        <v>AB</v>
      </c>
    </row>
    <row r="5" spans="1:15">
      <c r="A5" s="32" t="s">
        <v>45</v>
      </c>
      <c r="B5" s="26" t="s">
        <v>34</v>
      </c>
      <c r="C5" s="26" t="s">
        <v>34</v>
      </c>
      <c r="D5" s="26" t="s">
        <v>34</v>
      </c>
      <c r="E5" s="26" t="s">
        <v>34</v>
      </c>
      <c r="F5" s="26" t="s">
        <v>36</v>
      </c>
      <c r="I5" t="s">
        <v>62</v>
      </c>
      <c r="J5">
        <v>2.9391600000000002</v>
      </c>
      <c r="K5" t="s">
        <v>34</v>
      </c>
      <c r="L5" t="s">
        <v>35</v>
      </c>
      <c r="M5"/>
      <c r="N5"/>
      <c r="O5" s="26" t="str">
        <f t="shared" si="0"/>
        <v>AB</v>
      </c>
    </row>
    <row r="6" spans="1:15">
      <c r="A6" s="32" t="s">
        <v>46</v>
      </c>
      <c r="B6" s="26" t="s">
        <v>34</v>
      </c>
      <c r="C6" s="26" t="s">
        <v>34</v>
      </c>
      <c r="D6" s="26" t="s">
        <v>34</v>
      </c>
      <c r="E6" s="26" t="s">
        <v>34</v>
      </c>
      <c r="F6" s="26" t="s">
        <v>36</v>
      </c>
      <c r="I6" t="s">
        <v>63</v>
      </c>
      <c r="J6">
        <v>2.8481000000000001</v>
      </c>
      <c r="K6"/>
      <c r="L6" t="s">
        <v>35</v>
      </c>
      <c r="M6"/>
      <c r="N6"/>
      <c r="O6" s="26" t="str">
        <f t="shared" si="0"/>
        <v>B</v>
      </c>
    </row>
    <row r="7" spans="1:15">
      <c r="A7" s="32" t="s">
        <v>47</v>
      </c>
      <c r="B7" s="26" t="s">
        <v>34</v>
      </c>
      <c r="C7" s="26" t="s">
        <v>34</v>
      </c>
      <c r="D7" s="26" t="s">
        <v>34</v>
      </c>
      <c r="E7" s="26" t="s">
        <v>34</v>
      </c>
      <c r="F7" s="26" t="s">
        <v>35</v>
      </c>
      <c r="I7" t="s">
        <v>64</v>
      </c>
      <c r="J7">
        <v>2.9337599999999999</v>
      </c>
      <c r="K7" t="s">
        <v>34</v>
      </c>
      <c r="L7" t="s">
        <v>35</v>
      </c>
      <c r="M7"/>
      <c r="N7"/>
      <c r="O7" s="26" t="str">
        <f t="shared" si="0"/>
        <v>AB</v>
      </c>
    </row>
    <row r="8" spans="1:15">
      <c r="A8" s="32" t="s">
        <v>55</v>
      </c>
      <c r="B8" s="26" t="s">
        <v>34</v>
      </c>
      <c r="C8" s="26" t="s">
        <v>34</v>
      </c>
      <c r="D8" s="26" t="s">
        <v>34</v>
      </c>
      <c r="E8" s="26" t="s">
        <v>34</v>
      </c>
      <c r="F8" s="26" t="s">
        <v>36</v>
      </c>
      <c r="I8"/>
      <c r="J8"/>
      <c r="K8"/>
      <c r="L8"/>
      <c r="M8"/>
      <c r="N8"/>
      <c r="O8" s="26" t="str">
        <f t="shared" si="0"/>
        <v/>
      </c>
    </row>
    <row r="9" spans="1:15" ht="13.8" customHeight="1">
      <c r="A9"/>
      <c r="F9" s="4" t="s">
        <v>33</v>
      </c>
      <c r="I9"/>
      <c r="J9"/>
      <c r="K9"/>
      <c r="L9"/>
      <c r="M9"/>
      <c r="N9"/>
      <c r="O9" s="27"/>
    </row>
    <row r="10" spans="1:15" ht="13.8" customHeight="1">
      <c r="I10"/>
      <c r="J10"/>
      <c r="K10"/>
      <c r="L10"/>
      <c r="M10"/>
      <c r="N10"/>
    </row>
    <row r="11" spans="1:15">
      <c r="I11" s="28"/>
      <c r="J11" s="25"/>
      <c r="K11"/>
      <c r="L11"/>
      <c r="M11"/>
      <c r="N11"/>
    </row>
    <row r="12" spans="1:15">
      <c r="A12" s="9"/>
      <c r="I12" s="28"/>
      <c r="J12" s="26"/>
    </row>
    <row r="13" spans="1:15" ht="14.4" thickBot="1">
      <c r="A13" s="9"/>
      <c r="I13" s="29"/>
      <c r="J13" s="26"/>
      <c r="K13" s="11"/>
    </row>
    <row r="14" spans="1:15">
      <c r="A14" s="9"/>
      <c r="I14" s="26"/>
      <c r="J14" s="26"/>
    </row>
    <row r="15" spans="1:15">
      <c r="A15" s="9"/>
      <c r="I15" s="26"/>
      <c r="J15" s="26"/>
      <c r="K15" s="11"/>
    </row>
    <row r="16" spans="1:15">
      <c r="A16" s="9"/>
      <c r="K16" s="11"/>
    </row>
    <row r="17" spans="1:10">
      <c r="A17" s="9"/>
      <c r="B17" s="13" t="s">
        <v>42</v>
      </c>
      <c r="C17" s="32" t="s">
        <v>40</v>
      </c>
      <c r="D17" s="32" t="s">
        <v>41</v>
      </c>
      <c r="E17" s="32" t="s">
        <v>54</v>
      </c>
      <c r="F17" s="32" t="s">
        <v>65</v>
      </c>
      <c r="G17"/>
      <c r="H17"/>
      <c r="I17"/>
      <c r="J17"/>
    </row>
    <row r="18" spans="1:10">
      <c r="A18" s="13" t="s">
        <v>60</v>
      </c>
      <c r="B18" s="35" t="s">
        <v>77</v>
      </c>
      <c r="C18" s="35" t="s">
        <v>71</v>
      </c>
      <c r="D18" s="35" t="s">
        <v>72</v>
      </c>
      <c r="E18" s="35" t="s">
        <v>78</v>
      </c>
      <c r="F18" s="36" t="s">
        <v>79</v>
      </c>
      <c r="G18"/>
      <c r="H18"/>
      <c r="I18"/>
      <c r="J18"/>
    </row>
    <row r="19" spans="1:10">
      <c r="A19" s="32" t="s">
        <v>61</v>
      </c>
      <c r="B19" s="35" t="s">
        <v>73</v>
      </c>
      <c r="C19" s="35" t="s">
        <v>92</v>
      </c>
      <c r="D19" s="35" t="s">
        <v>80</v>
      </c>
      <c r="E19" s="36" t="s">
        <v>93</v>
      </c>
      <c r="F19" s="36" t="s">
        <v>74</v>
      </c>
      <c r="G19"/>
      <c r="H19"/>
      <c r="I19"/>
      <c r="J19"/>
    </row>
    <row r="20" spans="1:10">
      <c r="A20" s="32" t="s">
        <v>62</v>
      </c>
      <c r="B20" s="35" t="s">
        <v>81</v>
      </c>
      <c r="C20" s="35" t="s">
        <v>82</v>
      </c>
      <c r="D20" s="35" t="s">
        <v>83</v>
      </c>
      <c r="E20" s="36" t="s">
        <v>84</v>
      </c>
      <c r="F20" s="36" t="s">
        <v>75</v>
      </c>
      <c r="G20"/>
      <c r="H20"/>
      <c r="I20"/>
      <c r="J20"/>
    </row>
    <row r="21" spans="1:10">
      <c r="A21" s="32" t="s">
        <v>63</v>
      </c>
      <c r="B21" s="35" t="s">
        <v>85</v>
      </c>
      <c r="C21" s="35" t="s">
        <v>86</v>
      </c>
      <c r="D21" s="35" t="s">
        <v>87</v>
      </c>
      <c r="E21" s="36" t="s">
        <v>94</v>
      </c>
      <c r="F21" s="36" t="s">
        <v>88</v>
      </c>
      <c r="G21"/>
      <c r="H21"/>
      <c r="I21"/>
      <c r="J21"/>
    </row>
    <row r="22" spans="1:10">
      <c r="A22" s="32" t="s">
        <v>64</v>
      </c>
      <c r="B22" s="35" t="s">
        <v>95</v>
      </c>
      <c r="C22" s="35" t="s">
        <v>89</v>
      </c>
      <c r="D22" s="35" t="s">
        <v>90</v>
      </c>
      <c r="E22" s="36" t="s">
        <v>91</v>
      </c>
      <c r="F22" s="36" t="s">
        <v>76</v>
      </c>
      <c r="G22"/>
      <c r="H22"/>
      <c r="I22"/>
      <c r="J22"/>
    </row>
    <row r="23" spans="1:10" customFormat="1"/>
    <row r="24" spans="1:10">
      <c r="B24" s="4" t="s">
        <v>56</v>
      </c>
      <c r="C24" s="4" t="s">
        <v>35</v>
      </c>
      <c r="D24" s="4" t="s">
        <v>48</v>
      </c>
      <c r="E24" s="4" t="s">
        <v>35</v>
      </c>
      <c r="F24" s="4" t="s">
        <v>34</v>
      </c>
      <c r="G24" s="4" t="s">
        <v>34</v>
      </c>
      <c r="H24" s="4" t="s">
        <v>34</v>
      </c>
      <c r="I24" s="4" t="s">
        <v>59</v>
      </c>
    </row>
    <row r="25" spans="1:10">
      <c r="B25" s="4" t="s">
        <v>34</v>
      </c>
      <c r="C25" s="4" t="s">
        <v>36</v>
      </c>
      <c r="D25" s="4" t="s">
        <v>35</v>
      </c>
      <c r="E25" s="4" t="s">
        <v>35</v>
      </c>
      <c r="F25" s="4" t="s">
        <v>56</v>
      </c>
      <c r="G25" s="4" t="s">
        <v>35</v>
      </c>
      <c r="H25" s="4" t="s">
        <v>36</v>
      </c>
      <c r="I25" s="4" t="s">
        <v>34</v>
      </c>
    </row>
    <row r="26" spans="1:10">
      <c r="B26" s="4" t="s">
        <v>36</v>
      </c>
      <c r="C26" s="4" t="s">
        <v>34</v>
      </c>
      <c r="D26" s="4" t="s">
        <v>34</v>
      </c>
      <c r="E26" s="4" t="s">
        <v>34</v>
      </c>
      <c r="F26" s="4" t="s">
        <v>56</v>
      </c>
      <c r="G26" s="4" t="s">
        <v>35</v>
      </c>
      <c r="H26" s="4" t="s">
        <v>48</v>
      </c>
      <c r="I26" s="4" t="s">
        <v>35</v>
      </c>
    </row>
    <row r="27" spans="1:10">
      <c r="B27" s="4" t="s">
        <v>57</v>
      </c>
      <c r="C27" s="4" t="s">
        <v>34</v>
      </c>
      <c r="D27" s="4" t="s">
        <v>34</v>
      </c>
      <c r="E27" s="4" t="s">
        <v>34</v>
      </c>
      <c r="F27" s="4" t="s">
        <v>58</v>
      </c>
      <c r="G27" s="4" t="s">
        <v>35</v>
      </c>
      <c r="H27" s="4" t="s">
        <v>49</v>
      </c>
      <c r="I27" s="4" t="s">
        <v>35</v>
      </c>
    </row>
    <row r="28" spans="1:10">
      <c r="B28" s="4" t="s">
        <v>49</v>
      </c>
      <c r="C28" s="4" t="s">
        <v>34</v>
      </c>
      <c r="D28" s="4" t="s">
        <v>34</v>
      </c>
      <c r="E28" s="4" t="s">
        <v>34</v>
      </c>
      <c r="F28" s="4" t="s">
        <v>49</v>
      </c>
      <c r="G28" s="4" t="s">
        <v>35</v>
      </c>
      <c r="H28" s="4" t="s">
        <v>49</v>
      </c>
      <c r="I28" s="4" t="s">
        <v>35</v>
      </c>
    </row>
    <row r="29" spans="1:10">
      <c r="B29" s="4" t="s">
        <v>58</v>
      </c>
      <c r="C29" s="4" t="s">
        <v>34</v>
      </c>
      <c r="D29" s="4" t="s">
        <v>34</v>
      </c>
      <c r="E29" s="4" t="s">
        <v>34</v>
      </c>
      <c r="F29" s="4" t="s">
        <v>35</v>
      </c>
      <c r="G29" s="4" t="s">
        <v>35</v>
      </c>
      <c r="H29" s="4" t="s">
        <v>48</v>
      </c>
      <c r="I29" s="4" t="s">
        <v>35</v>
      </c>
    </row>
  </sheetData>
  <autoFilter ref="I2:N7">
    <sortState ref="I3:N8">
      <sortCondition ref="I2:I7" customList="星期日,星期一,星期二,星期三,星期四,星期五,星期六"/>
    </sortState>
  </autoFilter>
  <phoneticPr fontId="1" type="noConversion"/>
  <conditionalFormatting sqref="D18:F2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{270328B0-CED1-4B5D-9143-230C443E8994}</x14:id>
        </ext>
      </extLs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ANOVA_marker_copy">
          <controlPr defaultSize="0" autoLine="0" r:id="rId4">
            <anchor moveWithCells="1">
              <from>
                <xdr:col>16</xdr:col>
                <xdr:colOff>563880</xdr:colOff>
                <xdr:row>3</xdr:row>
                <xdr:rowOff>68580</xdr:rowOff>
              </from>
              <to>
                <xdr:col>18</xdr:col>
                <xdr:colOff>7620</xdr:colOff>
                <xdr:row>5</xdr:row>
                <xdr:rowOff>45720</xdr:rowOff>
              </to>
            </anchor>
          </controlPr>
        </control>
      </mc:Choice>
      <mc:Fallback>
        <control shapeId="10253" r:id="rId3" name="ANOVA_marker_copy"/>
      </mc:Fallback>
    </mc:AlternateContent>
    <mc:AlternateContent xmlns:mc="http://schemas.openxmlformats.org/markup-compatibility/2006">
      <mc:Choice Requires="x14">
        <control shapeId="10252" r:id="rId5" name="ANOVA_marker_clear">
          <controlPr defaultSize="0" autoLine="0" r:id="rId6">
            <anchor moveWithCells="1">
              <from>
                <xdr:col>16</xdr:col>
                <xdr:colOff>541020</xdr:colOff>
                <xdr:row>1</xdr:row>
                <xdr:rowOff>45720</xdr:rowOff>
              </from>
              <to>
                <xdr:col>18</xdr:col>
                <xdr:colOff>7620</xdr:colOff>
                <xdr:row>2</xdr:row>
                <xdr:rowOff>137160</xdr:rowOff>
              </to>
            </anchor>
          </controlPr>
        </control>
      </mc:Choice>
      <mc:Fallback>
        <control shapeId="10252" r:id="rId5" name="ANOVA_marker_clear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0328B0-CED1-4B5D-9143-230C443E89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D18:F22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V70"/>
  <sheetViews>
    <sheetView topLeftCell="A34" workbookViewId="0">
      <selection activeCell="Q40" sqref="Q40"/>
    </sheetView>
  </sheetViews>
  <sheetFormatPr defaultRowHeight="13.8"/>
  <cols>
    <col min="1" max="1" width="8.88671875" style="9"/>
  </cols>
  <sheetData>
    <row r="1" spans="1:16">
      <c r="B1" s="13" t="s">
        <v>42</v>
      </c>
      <c r="C1" s="32" t="s">
        <v>33</v>
      </c>
      <c r="D1" s="32" t="s">
        <v>40</v>
      </c>
      <c r="E1" s="32" t="s">
        <v>33</v>
      </c>
      <c r="F1" s="32" t="s">
        <v>41</v>
      </c>
      <c r="G1" s="32" t="s">
        <v>33</v>
      </c>
      <c r="H1" s="32" t="s">
        <v>54</v>
      </c>
      <c r="I1" s="32" t="s">
        <v>33</v>
      </c>
      <c r="J1" s="32" t="s">
        <v>65</v>
      </c>
      <c r="K1" s="32" t="s">
        <v>33</v>
      </c>
    </row>
    <row r="2" spans="1:16">
      <c r="A2" s="13" t="s">
        <v>60</v>
      </c>
      <c r="B2" s="40">
        <v>2.7040000000000002</v>
      </c>
      <c r="C2" s="40">
        <v>3.3000000000000002E-2</v>
      </c>
      <c r="D2" s="40">
        <v>2.7650000000000001</v>
      </c>
      <c r="E2" s="40">
        <v>5.3999999999999999E-2</v>
      </c>
      <c r="F2" s="40">
        <v>2.8370000000000002</v>
      </c>
      <c r="G2" s="40">
        <v>3.4000000000000002E-2</v>
      </c>
      <c r="H2" s="40">
        <v>2.9449999999999998</v>
      </c>
      <c r="I2" s="40">
        <v>8.3000000000000004E-2</v>
      </c>
      <c r="J2" s="40">
        <v>3.056</v>
      </c>
      <c r="K2" s="40">
        <v>1.7000000000000001E-2</v>
      </c>
      <c r="L2" s="26" t="s">
        <v>34</v>
      </c>
      <c r="M2" s="26" t="s">
        <v>34</v>
      </c>
      <c r="N2" s="26" t="s">
        <v>34</v>
      </c>
      <c r="O2" s="26" t="s">
        <v>34</v>
      </c>
      <c r="P2" s="26" t="s">
        <v>34</v>
      </c>
    </row>
    <row r="3" spans="1:16">
      <c r="A3" s="32" t="s">
        <v>61</v>
      </c>
      <c r="B3" s="40">
        <v>2.8</v>
      </c>
      <c r="C3" s="40">
        <v>5.8999999999999997E-2</v>
      </c>
      <c r="D3" s="40">
        <v>2.73</v>
      </c>
      <c r="E3" s="40">
        <v>5.2999999999999999E-2</v>
      </c>
      <c r="F3" s="40">
        <v>2.786</v>
      </c>
      <c r="G3" s="40">
        <v>5.8999999999999997E-2</v>
      </c>
      <c r="H3" s="40">
        <v>2.9169999999999998</v>
      </c>
      <c r="I3" s="40">
        <v>5.5E-2</v>
      </c>
      <c r="J3" s="40">
        <v>2.9689999999999999</v>
      </c>
      <c r="K3" s="40">
        <v>3.4000000000000002E-2</v>
      </c>
      <c r="L3" s="26" t="s">
        <v>34</v>
      </c>
      <c r="M3" s="26" t="s">
        <v>34</v>
      </c>
      <c r="N3" s="26" t="s">
        <v>34</v>
      </c>
      <c r="O3" s="26" t="s">
        <v>34</v>
      </c>
      <c r="P3" s="26" t="s">
        <v>36</v>
      </c>
    </row>
    <row r="4" spans="1:16">
      <c r="A4" s="32" t="s">
        <v>62</v>
      </c>
      <c r="B4" s="40">
        <v>2.7839999999999998</v>
      </c>
      <c r="C4" s="40">
        <v>0.02</v>
      </c>
      <c r="D4" s="40">
        <v>2.7389999999999999</v>
      </c>
      <c r="E4" s="40">
        <v>2.5000000000000001E-2</v>
      </c>
      <c r="F4" s="40">
        <v>2.8050000000000002</v>
      </c>
      <c r="G4" s="40">
        <v>0.09</v>
      </c>
      <c r="H4" s="40">
        <v>2.8780000000000001</v>
      </c>
      <c r="I4" s="40">
        <v>7.2999999999999995E-2</v>
      </c>
      <c r="J4" s="40">
        <v>2.9390000000000001</v>
      </c>
      <c r="K4" s="40">
        <v>7.8E-2</v>
      </c>
      <c r="L4" s="26" t="s">
        <v>34</v>
      </c>
      <c r="M4" s="26" t="s">
        <v>34</v>
      </c>
      <c r="N4" s="26" t="s">
        <v>34</v>
      </c>
      <c r="O4" s="26" t="s">
        <v>34</v>
      </c>
      <c r="P4" s="26" t="s">
        <v>36</v>
      </c>
    </row>
    <row r="5" spans="1:16">
      <c r="A5" s="32" t="s">
        <v>63</v>
      </c>
      <c r="B5" s="40">
        <v>2.7559999999999998</v>
      </c>
      <c r="C5" s="40">
        <v>0.01</v>
      </c>
      <c r="D5" s="40">
        <v>2.6880000000000002</v>
      </c>
      <c r="E5" s="40">
        <v>1.7999999999999999E-2</v>
      </c>
      <c r="F5" s="40">
        <v>2.7919999999999998</v>
      </c>
      <c r="G5" s="40">
        <v>8.6999999999999994E-2</v>
      </c>
      <c r="H5" s="40">
        <v>2.806</v>
      </c>
      <c r="I5" s="40">
        <v>7.3999999999999996E-2</v>
      </c>
      <c r="J5" s="40">
        <v>2.8479999999999999</v>
      </c>
      <c r="K5" s="40">
        <v>3.5000000000000003E-2</v>
      </c>
      <c r="L5" s="26" t="s">
        <v>34</v>
      </c>
      <c r="M5" s="26" t="s">
        <v>34</v>
      </c>
      <c r="N5" s="26" t="s">
        <v>34</v>
      </c>
      <c r="O5" s="26" t="s">
        <v>34</v>
      </c>
      <c r="P5" s="26" t="s">
        <v>35</v>
      </c>
    </row>
    <row r="6" spans="1:16">
      <c r="A6" s="32" t="s">
        <v>64</v>
      </c>
      <c r="B6" s="40">
        <v>2.7509999999999999</v>
      </c>
      <c r="C6" s="40">
        <v>6.3E-2</v>
      </c>
      <c r="D6" s="40">
        <v>2.7549999999999999</v>
      </c>
      <c r="E6" s="40">
        <v>3.6999999999999998E-2</v>
      </c>
      <c r="F6" s="40">
        <v>2.8260000000000001</v>
      </c>
      <c r="G6" s="40">
        <v>5.8999999999999997E-2</v>
      </c>
      <c r="H6" s="40">
        <v>2.9249999999999998</v>
      </c>
      <c r="I6" s="40">
        <v>0.03</v>
      </c>
      <c r="J6" s="40">
        <v>2.9340000000000002</v>
      </c>
      <c r="K6" s="40">
        <v>6.5000000000000002E-2</v>
      </c>
      <c r="L6" s="26" t="s">
        <v>34</v>
      </c>
      <c r="M6" s="26" t="s">
        <v>34</v>
      </c>
      <c r="N6" s="26" t="s">
        <v>34</v>
      </c>
      <c r="O6" s="26" t="s">
        <v>34</v>
      </c>
      <c r="P6" s="26" t="s">
        <v>36</v>
      </c>
    </row>
    <row r="10" spans="1:16">
      <c r="J10" s="12"/>
    </row>
    <row r="11" spans="1:16">
      <c r="J11" s="12"/>
    </row>
    <row r="12" spans="1:16">
      <c r="J12" s="12"/>
    </row>
    <row r="13" spans="1:16">
      <c r="J13" s="12"/>
    </row>
    <row r="14" spans="1:16">
      <c r="J14" s="12"/>
    </row>
    <row r="15" spans="1:16">
      <c r="J15" s="12"/>
    </row>
    <row r="16" spans="1:16">
      <c r="J16" s="12"/>
    </row>
    <row r="17" spans="1:10">
      <c r="J17" s="12"/>
    </row>
    <row r="18" spans="1:10">
      <c r="J18" s="12"/>
    </row>
    <row r="19" spans="1:10">
      <c r="J19" s="12"/>
    </row>
    <row r="21" spans="1:10">
      <c r="B21" t="s">
        <v>102</v>
      </c>
      <c r="C21" t="s">
        <v>103</v>
      </c>
      <c r="D21" t="s">
        <v>104</v>
      </c>
      <c r="E21" t="s">
        <v>105</v>
      </c>
      <c r="F21" t="s">
        <v>106</v>
      </c>
    </row>
    <row r="22" spans="1:10" ht="16.2">
      <c r="A22" s="9" t="s">
        <v>97</v>
      </c>
      <c r="B22" t="s">
        <v>107</v>
      </c>
      <c r="C22" t="s">
        <v>108</v>
      </c>
      <c r="D22" t="s">
        <v>109</v>
      </c>
      <c r="E22" t="s">
        <v>110</v>
      </c>
      <c r="F22" t="s">
        <v>111</v>
      </c>
    </row>
    <row r="23" spans="1:10" ht="16.2">
      <c r="A23" s="9" t="s">
        <v>98</v>
      </c>
      <c r="B23" t="s">
        <v>112</v>
      </c>
      <c r="C23" t="s">
        <v>113</v>
      </c>
      <c r="D23" t="s">
        <v>114</v>
      </c>
      <c r="E23" t="s">
        <v>115</v>
      </c>
      <c r="F23" t="s">
        <v>116</v>
      </c>
    </row>
    <row r="24" spans="1:10" ht="16.2" customHeight="1">
      <c r="A24" s="9" t="s">
        <v>99</v>
      </c>
      <c r="B24" t="s">
        <v>117</v>
      </c>
      <c r="C24" t="s">
        <v>118</v>
      </c>
      <c r="D24" t="s">
        <v>119</v>
      </c>
      <c r="E24" t="s">
        <v>120</v>
      </c>
      <c r="F24" t="s">
        <v>121</v>
      </c>
    </row>
    <row r="25" spans="1:10" ht="16.2" customHeight="1">
      <c r="A25" s="9" t="s">
        <v>100</v>
      </c>
      <c r="B25" t="s">
        <v>122</v>
      </c>
      <c r="C25" t="s">
        <v>123</v>
      </c>
      <c r="D25" t="s">
        <v>124</v>
      </c>
      <c r="E25" t="s">
        <v>125</v>
      </c>
      <c r="F25" t="s">
        <v>126</v>
      </c>
    </row>
    <row r="26" spans="1:10" ht="16.2" customHeight="1">
      <c r="A26" s="9" t="s">
        <v>101</v>
      </c>
      <c r="B26" t="s">
        <v>127</v>
      </c>
      <c r="C26" t="s">
        <v>128</v>
      </c>
      <c r="D26" t="s">
        <v>129</v>
      </c>
      <c r="E26" t="s">
        <v>130</v>
      </c>
      <c r="F26" t="s">
        <v>131</v>
      </c>
    </row>
    <row r="27" spans="1:10" ht="16.2" customHeight="1"/>
    <row r="28" spans="1:10" ht="16.2" customHeight="1"/>
    <row r="29" spans="1:10" ht="16.2" customHeight="1"/>
    <row r="30" spans="1:10" ht="16.2" customHeight="1"/>
    <row r="31" spans="1:10" ht="16.2" customHeight="1"/>
    <row r="41" spans="1:16">
      <c r="B41" t="s">
        <v>137</v>
      </c>
      <c r="E41" t="s">
        <v>138</v>
      </c>
      <c r="H41" t="s">
        <v>139</v>
      </c>
      <c r="K41" t="s">
        <v>140</v>
      </c>
      <c r="N41" t="s">
        <v>141</v>
      </c>
    </row>
    <row r="42" spans="1:16">
      <c r="A42" s="9" t="s">
        <v>132</v>
      </c>
      <c r="B42">
        <v>2.7040000000000002</v>
      </c>
      <c r="C42">
        <v>3.3000000000000002E-2</v>
      </c>
      <c r="D42" t="s">
        <v>51</v>
      </c>
      <c r="E42">
        <v>2.7650000000000001</v>
      </c>
      <c r="F42">
        <v>5.3999999999999999E-2</v>
      </c>
      <c r="G42" t="s">
        <v>51</v>
      </c>
      <c r="H42">
        <v>2.8370000000000002</v>
      </c>
      <c r="I42">
        <v>3.4000000000000002E-2</v>
      </c>
      <c r="J42" t="s">
        <v>51</v>
      </c>
      <c r="K42">
        <v>2.9449999999999998</v>
      </c>
      <c r="L42">
        <v>8.3000000000000004E-2</v>
      </c>
      <c r="M42" t="s">
        <v>51</v>
      </c>
      <c r="N42">
        <v>3.056</v>
      </c>
      <c r="O42">
        <v>1.7000000000000001E-2</v>
      </c>
      <c r="P42" t="s">
        <v>51</v>
      </c>
    </row>
    <row r="43" spans="1:16">
      <c r="A43" s="9" t="s">
        <v>133</v>
      </c>
      <c r="B43">
        <v>2.8</v>
      </c>
      <c r="C43">
        <v>5.8999999999999997E-2</v>
      </c>
      <c r="D43" t="s">
        <v>51</v>
      </c>
      <c r="E43">
        <v>2.73</v>
      </c>
      <c r="F43">
        <v>5.2999999999999999E-2</v>
      </c>
      <c r="G43" t="s">
        <v>51</v>
      </c>
      <c r="H43">
        <v>2.786</v>
      </c>
      <c r="I43">
        <v>5.8999999999999997E-2</v>
      </c>
      <c r="J43" t="s">
        <v>51</v>
      </c>
      <c r="K43">
        <v>2.9169999999999998</v>
      </c>
      <c r="L43">
        <v>5.5E-2</v>
      </c>
      <c r="M43" t="s">
        <v>51</v>
      </c>
      <c r="N43">
        <v>2.9689999999999999</v>
      </c>
      <c r="O43">
        <v>3.4000000000000002E-2</v>
      </c>
      <c r="P43" t="s">
        <v>53</v>
      </c>
    </row>
    <row r="44" spans="1:16">
      <c r="A44" s="9" t="s">
        <v>134</v>
      </c>
      <c r="B44">
        <v>2.7839999999999998</v>
      </c>
      <c r="C44">
        <v>0.02</v>
      </c>
      <c r="D44" t="s">
        <v>51</v>
      </c>
      <c r="E44">
        <v>2.7389999999999999</v>
      </c>
      <c r="F44">
        <v>2.5000000000000001E-2</v>
      </c>
      <c r="G44" t="s">
        <v>51</v>
      </c>
      <c r="H44">
        <v>2.8050000000000002</v>
      </c>
      <c r="I44">
        <v>0.09</v>
      </c>
      <c r="J44" t="s">
        <v>51</v>
      </c>
      <c r="K44">
        <v>2.8780000000000001</v>
      </c>
      <c r="L44">
        <v>7.2999999999999995E-2</v>
      </c>
      <c r="M44" t="s">
        <v>51</v>
      </c>
      <c r="N44">
        <v>2.9390000000000001</v>
      </c>
      <c r="O44">
        <v>7.8E-2</v>
      </c>
      <c r="P44" t="s">
        <v>53</v>
      </c>
    </row>
    <row r="45" spans="1:16">
      <c r="A45" s="9" t="s">
        <v>135</v>
      </c>
      <c r="B45">
        <v>2.7559999999999998</v>
      </c>
      <c r="C45">
        <v>0.01</v>
      </c>
      <c r="D45" t="s">
        <v>51</v>
      </c>
      <c r="E45">
        <v>2.6880000000000002</v>
      </c>
      <c r="F45">
        <v>1.7999999999999999E-2</v>
      </c>
      <c r="G45" t="s">
        <v>51</v>
      </c>
      <c r="H45">
        <v>2.7919999999999998</v>
      </c>
      <c r="I45">
        <v>8.6999999999999994E-2</v>
      </c>
      <c r="J45" t="s">
        <v>51</v>
      </c>
      <c r="K45">
        <v>2.806</v>
      </c>
      <c r="L45">
        <v>7.3999999999999996E-2</v>
      </c>
      <c r="M45" t="s">
        <v>51</v>
      </c>
      <c r="N45">
        <v>2.8479999999999999</v>
      </c>
      <c r="O45">
        <v>3.5000000000000003E-2</v>
      </c>
      <c r="P45" t="s">
        <v>52</v>
      </c>
    </row>
    <row r="46" spans="1:16">
      <c r="A46" s="9" t="s">
        <v>136</v>
      </c>
      <c r="B46">
        <v>2.7509999999999999</v>
      </c>
      <c r="C46">
        <v>6.3E-2</v>
      </c>
      <c r="D46" t="s">
        <v>51</v>
      </c>
      <c r="E46">
        <v>2.7549999999999999</v>
      </c>
      <c r="F46">
        <v>3.6999999999999998E-2</v>
      </c>
      <c r="G46" t="s">
        <v>51</v>
      </c>
      <c r="H46">
        <v>2.8260000000000001</v>
      </c>
      <c r="I46">
        <v>5.8999999999999997E-2</v>
      </c>
      <c r="J46" t="s">
        <v>51</v>
      </c>
      <c r="K46">
        <v>2.9249999999999998</v>
      </c>
      <c r="L46">
        <v>0.03</v>
      </c>
      <c r="M46" t="s">
        <v>51</v>
      </c>
      <c r="N46">
        <v>2.9340000000000002</v>
      </c>
      <c r="O46">
        <v>6.5000000000000002E-2</v>
      </c>
      <c r="P46" t="s">
        <v>53</v>
      </c>
    </row>
    <row r="61" spans="1:74" s="9" customFormat="1">
      <c r="B61" s="9" t="s">
        <v>142</v>
      </c>
      <c r="E61" s="9" t="s">
        <v>143</v>
      </c>
      <c r="H61" s="9" t="s">
        <v>144</v>
      </c>
      <c r="K61" s="9" t="s">
        <v>145</v>
      </c>
      <c r="N61" s="9" t="s">
        <v>136</v>
      </c>
      <c r="BJ61" s="9" t="s">
        <v>146</v>
      </c>
      <c r="BM61" s="9" t="s">
        <v>147</v>
      </c>
      <c r="BP61" s="9" t="s">
        <v>148</v>
      </c>
      <c r="BS61" s="9" t="s">
        <v>149</v>
      </c>
      <c r="BV61" s="9" t="s">
        <v>150</v>
      </c>
    </row>
    <row r="62" spans="1:74">
      <c r="A62" s="9" t="s">
        <v>151</v>
      </c>
      <c r="B62">
        <v>2.7040000000000002</v>
      </c>
      <c r="C62">
        <v>3.3000000000000002E-2</v>
      </c>
      <c r="D62" t="s">
        <v>51</v>
      </c>
      <c r="E62">
        <v>2.8</v>
      </c>
      <c r="F62">
        <v>5.8999999999999997E-2</v>
      </c>
      <c r="G62" t="s">
        <v>51</v>
      </c>
      <c r="H62">
        <v>2.7839999999999998</v>
      </c>
      <c r="I62">
        <v>0.02</v>
      </c>
      <c r="J62" t="s">
        <v>51</v>
      </c>
      <c r="K62">
        <v>2.7559999999999998</v>
      </c>
      <c r="L62">
        <v>0.01</v>
      </c>
      <c r="M62" t="s">
        <v>51</v>
      </c>
      <c r="N62">
        <v>2.7509999999999999</v>
      </c>
      <c r="O62">
        <v>6.3E-2</v>
      </c>
      <c r="P62" t="s">
        <v>51</v>
      </c>
    </row>
    <row r="63" spans="1:74">
      <c r="A63" s="9" t="s">
        <v>103</v>
      </c>
      <c r="B63">
        <v>2.7650000000000001</v>
      </c>
      <c r="C63">
        <v>5.3999999999999999E-2</v>
      </c>
      <c r="D63" t="s">
        <v>51</v>
      </c>
      <c r="E63">
        <v>2.73</v>
      </c>
      <c r="F63">
        <v>5.2999999999999999E-2</v>
      </c>
      <c r="G63" t="s">
        <v>51</v>
      </c>
      <c r="H63">
        <v>2.7389999999999999</v>
      </c>
      <c r="I63">
        <v>2.5000000000000001E-2</v>
      </c>
      <c r="J63" t="s">
        <v>51</v>
      </c>
      <c r="K63">
        <v>2.6880000000000002</v>
      </c>
      <c r="L63">
        <v>1.7999999999999999E-2</v>
      </c>
      <c r="M63" t="s">
        <v>51</v>
      </c>
      <c r="N63">
        <v>2.7549999999999999</v>
      </c>
      <c r="O63">
        <v>3.6999999999999998E-2</v>
      </c>
      <c r="P63" t="s">
        <v>51</v>
      </c>
    </row>
    <row r="64" spans="1:74">
      <c r="A64" s="9" t="s">
        <v>148</v>
      </c>
      <c r="B64">
        <v>2.8370000000000002</v>
      </c>
      <c r="C64">
        <v>3.4000000000000002E-2</v>
      </c>
      <c r="D64" t="s">
        <v>51</v>
      </c>
      <c r="E64">
        <v>2.786</v>
      </c>
      <c r="F64">
        <v>5.8999999999999997E-2</v>
      </c>
      <c r="G64" t="s">
        <v>51</v>
      </c>
      <c r="H64">
        <v>2.8050000000000002</v>
      </c>
      <c r="I64">
        <v>0.09</v>
      </c>
      <c r="J64" t="s">
        <v>51</v>
      </c>
      <c r="K64">
        <v>2.7919999999999998</v>
      </c>
      <c r="L64">
        <v>8.6999999999999994E-2</v>
      </c>
      <c r="M64" t="s">
        <v>51</v>
      </c>
      <c r="N64">
        <v>2.8260000000000001</v>
      </c>
      <c r="O64">
        <v>5.8999999999999997E-2</v>
      </c>
      <c r="P64" t="s">
        <v>51</v>
      </c>
    </row>
    <row r="65" spans="1:63">
      <c r="A65" s="9" t="s">
        <v>152</v>
      </c>
      <c r="B65">
        <v>2.9449999999999998</v>
      </c>
      <c r="C65">
        <v>8.3000000000000004E-2</v>
      </c>
      <c r="D65" t="s">
        <v>51</v>
      </c>
      <c r="E65">
        <v>2.9169999999999998</v>
      </c>
      <c r="F65">
        <v>5.5E-2</v>
      </c>
      <c r="G65" t="s">
        <v>51</v>
      </c>
      <c r="H65">
        <v>2.8780000000000001</v>
      </c>
      <c r="I65">
        <v>7.2999999999999995E-2</v>
      </c>
      <c r="J65" t="s">
        <v>51</v>
      </c>
      <c r="K65">
        <v>2.806</v>
      </c>
      <c r="L65">
        <v>7.3999999999999996E-2</v>
      </c>
      <c r="M65" t="s">
        <v>51</v>
      </c>
      <c r="N65">
        <v>2.9249999999999998</v>
      </c>
      <c r="O65">
        <v>0.03</v>
      </c>
      <c r="P65" t="s">
        <v>51</v>
      </c>
    </row>
    <row r="66" spans="1:63">
      <c r="A66" s="9" t="s">
        <v>153</v>
      </c>
      <c r="B66">
        <v>3.056</v>
      </c>
      <c r="C66">
        <v>1.7000000000000001E-2</v>
      </c>
      <c r="D66" t="s">
        <v>51</v>
      </c>
      <c r="E66">
        <v>2.9689999999999999</v>
      </c>
      <c r="F66">
        <v>3.4000000000000002E-2</v>
      </c>
      <c r="G66" t="s">
        <v>53</v>
      </c>
      <c r="H66">
        <v>2.9390000000000001</v>
      </c>
      <c r="I66">
        <v>7.8E-2</v>
      </c>
      <c r="J66" t="s">
        <v>53</v>
      </c>
      <c r="K66">
        <v>2.8479999999999999</v>
      </c>
      <c r="L66">
        <v>3.5000000000000003E-2</v>
      </c>
      <c r="M66" t="s">
        <v>52</v>
      </c>
      <c r="N66">
        <v>2.9340000000000002</v>
      </c>
      <c r="O66">
        <v>6.5000000000000002E-2</v>
      </c>
      <c r="P66" t="s">
        <v>53</v>
      </c>
    </row>
    <row r="70" spans="1:63" s="9" customFormat="1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</sheetData>
  <phoneticPr fontId="1" type="noConversion"/>
  <conditionalFormatting sqref="H2:H6 J2:J6 F2:F6 D2:D6 B2:B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1" r:id="rId3" name="CommandButton1">
          <controlPr defaultSize="0" print="0" autoLine="0" r:id="rId4">
            <anchor moveWithCells="1">
              <from>
                <xdr:col>0</xdr:col>
                <xdr:colOff>0</xdr:colOff>
                <xdr:row>16</xdr:row>
                <xdr:rowOff>99060</xdr:rowOff>
              </from>
              <to>
                <xdr:col>1</xdr:col>
                <xdr:colOff>205740</xdr:colOff>
                <xdr:row>18</xdr:row>
                <xdr:rowOff>152400</xdr:rowOff>
              </to>
            </anchor>
          </controlPr>
        </control>
      </mc:Choice>
      <mc:Fallback>
        <control shapeId="12291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B2:AC50"/>
  <sheetViews>
    <sheetView workbookViewId="0">
      <selection activeCell="M13" sqref="M13"/>
    </sheetView>
  </sheetViews>
  <sheetFormatPr defaultRowHeight="13.8"/>
  <cols>
    <col min="1" max="11" width="8.88671875" style="4"/>
    <col min="12" max="12" width="11.6640625" style="7" bestFit="1" customWidth="1"/>
    <col min="13" max="13" width="9.5546875" style="8" bestFit="1" customWidth="1"/>
    <col min="14" max="14" width="10.5546875" style="5" bestFit="1" customWidth="1"/>
    <col min="15" max="16384" width="8.88671875" style="4"/>
  </cols>
  <sheetData>
    <row r="2" spans="2:29" ht="13.8" customHeight="1">
      <c r="B2" s="3" t="s">
        <v>13</v>
      </c>
      <c r="C2" s="3">
        <v>-1</v>
      </c>
      <c r="D2" s="3">
        <v>-2</v>
      </c>
      <c r="E2" s="3">
        <v>-3</v>
      </c>
      <c r="F2" s="3">
        <v>-4</v>
      </c>
      <c r="G2" s="3">
        <v>-5</v>
      </c>
      <c r="H2" s="3">
        <v>-6</v>
      </c>
      <c r="I2" s="3">
        <v>-7</v>
      </c>
      <c r="J2" s="3">
        <v>-8</v>
      </c>
      <c r="L2" s="7" t="s">
        <v>14</v>
      </c>
      <c r="M2" s="4"/>
      <c r="R2" s="41" t="s">
        <v>25</v>
      </c>
      <c r="S2" s="41"/>
      <c r="T2" s="41"/>
      <c r="U2" s="41"/>
      <c r="V2" s="41"/>
      <c r="W2" s="41"/>
      <c r="X2" s="3" t="s">
        <v>13</v>
      </c>
      <c r="Y2" s="3">
        <v>-1</v>
      </c>
      <c r="Z2" s="3">
        <v>-2</v>
      </c>
      <c r="AA2" s="3">
        <v>-3</v>
      </c>
      <c r="AB2" s="3">
        <v>-4</v>
      </c>
      <c r="AC2" s="3">
        <v>-5</v>
      </c>
    </row>
    <row r="3" spans="2:29">
      <c r="B3" s="6" t="s">
        <v>15</v>
      </c>
      <c r="C3"/>
      <c r="D3"/>
      <c r="E3"/>
      <c r="F3"/>
      <c r="G3"/>
      <c r="H3"/>
      <c r="I3">
        <v>84</v>
      </c>
      <c r="J3"/>
      <c r="K3"/>
      <c r="L3" s="34">
        <v>840000000</v>
      </c>
      <c r="M3"/>
      <c r="N3" s="4"/>
      <c r="R3" s="41"/>
      <c r="S3" s="41"/>
      <c r="T3" s="41"/>
      <c r="U3" s="41"/>
      <c r="V3" s="41"/>
      <c r="W3" s="41"/>
      <c r="X3" s="6" t="s">
        <v>15</v>
      </c>
      <c r="Y3"/>
      <c r="Z3"/>
      <c r="AA3">
        <v>543</v>
      </c>
      <c r="AB3">
        <v>432</v>
      </c>
      <c r="AC3"/>
    </row>
    <row r="4" spans="2:29">
      <c r="B4" s="6"/>
      <c r="C4"/>
      <c r="D4"/>
      <c r="E4"/>
      <c r="F4"/>
      <c r="G4"/>
      <c r="H4"/>
      <c r="I4">
        <v>73</v>
      </c>
      <c r="J4"/>
      <c r="K4"/>
      <c r="L4" s="34">
        <v>730000000</v>
      </c>
      <c r="M4"/>
      <c r="N4" s="4"/>
      <c r="R4" s="41"/>
      <c r="S4" s="41"/>
      <c r="T4" s="41"/>
      <c r="U4" s="41"/>
      <c r="V4" s="41"/>
      <c r="W4" s="41"/>
      <c r="X4" s="6"/>
      <c r="Y4"/>
      <c r="Z4"/>
      <c r="AA4"/>
      <c r="AB4"/>
      <c r="AC4">
        <v>12</v>
      </c>
    </row>
    <row r="5" spans="2:29">
      <c r="B5" s="6" t="s">
        <v>16</v>
      </c>
      <c r="C5"/>
      <c r="D5"/>
      <c r="E5"/>
      <c r="F5"/>
      <c r="G5"/>
      <c r="H5"/>
      <c r="I5">
        <v>49</v>
      </c>
      <c r="J5"/>
      <c r="K5"/>
      <c r="L5" s="34">
        <v>490000000</v>
      </c>
      <c r="M5"/>
      <c r="N5" s="4"/>
      <c r="R5" s="41"/>
      <c r="S5" s="41"/>
      <c r="T5" s="41"/>
      <c r="U5" s="41"/>
      <c r="V5" s="41"/>
      <c r="W5" s="41"/>
    </row>
    <row r="6" spans="2:29">
      <c r="B6" s="6"/>
      <c r="C6"/>
      <c r="D6"/>
      <c r="E6"/>
      <c r="F6"/>
      <c r="G6"/>
      <c r="H6"/>
      <c r="I6">
        <v>50</v>
      </c>
      <c r="J6"/>
      <c r="K6"/>
      <c r="L6" s="34">
        <v>500000000</v>
      </c>
      <c r="M6"/>
      <c r="N6" s="4"/>
      <c r="R6" s="41"/>
      <c r="S6" s="41"/>
      <c r="T6" s="41"/>
      <c r="U6" s="41"/>
      <c r="V6" s="41"/>
      <c r="W6" s="41"/>
    </row>
    <row r="7" spans="2:29">
      <c r="B7" s="6" t="s">
        <v>17</v>
      </c>
      <c r="C7"/>
      <c r="D7"/>
      <c r="E7"/>
      <c r="F7"/>
      <c r="G7"/>
      <c r="H7"/>
      <c r="I7">
        <v>59</v>
      </c>
      <c r="J7"/>
      <c r="K7"/>
      <c r="L7" s="34">
        <v>590000000</v>
      </c>
      <c r="M7"/>
      <c r="N7" s="4"/>
      <c r="R7" s="41"/>
      <c r="S7" s="41"/>
      <c r="T7" s="41"/>
      <c r="U7" s="41"/>
      <c r="V7" s="41"/>
      <c r="W7" s="41"/>
    </row>
    <row r="8" spans="2:29">
      <c r="B8" s="6"/>
      <c r="C8"/>
      <c r="D8"/>
      <c r="E8"/>
      <c r="F8"/>
      <c r="G8"/>
      <c r="H8"/>
      <c r="I8">
        <v>54</v>
      </c>
      <c r="J8"/>
      <c r="K8"/>
      <c r="L8" s="34">
        <v>540000000</v>
      </c>
      <c r="M8"/>
      <c r="N8" s="4"/>
      <c r="R8" s="41"/>
      <c r="S8" s="41"/>
      <c r="T8" s="41"/>
      <c r="U8" s="41"/>
      <c r="V8" s="41"/>
      <c r="W8" s="41"/>
    </row>
    <row r="9" spans="2:29">
      <c r="B9" s="6" t="s">
        <v>18</v>
      </c>
      <c r="C9"/>
      <c r="D9"/>
      <c r="E9"/>
      <c r="F9"/>
      <c r="G9"/>
      <c r="H9"/>
      <c r="I9">
        <v>54</v>
      </c>
      <c r="J9"/>
      <c r="K9"/>
      <c r="L9" s="34">
        <v>540000000</v>
      </c>
      <c r="M9"/>
      <c r="N9" s="4"/>
      <c r="R9" s="41"/>
      <c r="S9" s="41"/>
      <c r="T9" s="41"/>
      <c r="U9" s="41"/>
      <c r="V9" s="41"/>
      <c r="W9" s="41"/>
    </row>
    <row r="10" spans="2:29">
      <c r="B10" s="6"/>
      <c r="C10"/>
      <c r="D10"/>
      <c r="E10"/>
      <c r="F10"/>
      <c r="G10"/>
      <c r="H10"/>
      <c r="I10">
        <v>50</v>
      </c>
      <c r="J10"/>
      <c r="K10"/>
      <c r="L10" s="34">
        <v>500000000</v>
      </c>
      <c r="M10"/>
      <c r="N10" s="4"/>
    </row>
    <row r="11" spans="2:29">
      <c r="B11" s="6" t="s">
        <v>19</v>
      </c>
      <c r="C11"/>
      <c r="D11"/>
      <c r="E11"/>
      <c r="F11"/>
      <c r="G11"/>
      <c r="H11"/>
      <c r="I11"/>
      <c r="J11"/>
      <c r="K11"/>
      <c r="L11" s="34"/>
      <c r="M11"/>
      <c r="N11" s="4"/>
    </row>
    <row r="12" spans="2:29">
      <c r="B12" s="6"/>
      <c r="C12"/>
      <c r="D12"/>
      <c r="E12"/>
      <c r="F12"/>
      <c r="G12"/>
      <c r="H12"/>
      <c r="I12"/>
      <c r="J12"/>
      <c r="K12"/>
      <c r="L12" s="34"/>
      <c r="M12"/>
      <c r="N12" s="4"/>
    </row>
    <row r="13" spans="2:29">
      <c r="B13" s="6" t="s">
        <v>20</v>
      </c>
      <c r="C13"/>
      <c r="D13"/>
      <c r="E13"/>
      <c r="F13"/>
      <c r="G13"/>
      <c r="H13"/>
      <c r="I13"/>
      <c r="J13"/>
      <c r="K13"/>
      <c r="L13" s="34"/>
      <c r="M13"/>
      <c r="N13" s="4"/>
    </row>
    <row r="14" spans="2:29">
      <c r="B14" s="6"/>
      <c r="C14"/>
      <c r="D14"/>
      <c r="E14"/>
      <c r="F14"/>
      <c r="G14"/>
      <c r="H14"/>
      <c r="I14"/>
      <c r="J14"/>
      <c r="K14"/>
      <c r="L14" s="34"/>
      <c r="M14"/>
      <c r="N14" s="4"/>
    </row>
    <row r="15" spans="2:29">
      <c r="B15" s="6" t="s">
        <v>21</v>
      </c>
      <c r="C15"/>
      <c r="D15"/>
      <c r="E15"/>
      <c r="F15"/>
      <c r="G15"/>
      <c r="H15"/>
      <c r="I15"/>
      <c r="J15"/>
      <c r="K15"/>
      <c r="L15" s="34"/>
      <c r="M15"/>
      <c r="N15" s="4"/>
    </row>
    <row r="16" spans="2:29">
      <c r="B16" s="6"/>
      <c r="C16"/>
      <c r="D16"/>
      <c r="E16"/>
      <c r="F16"/>
      <c r="G16"/>
      <c r="H16"/>
      <c r="I16"/>
      <c r="J16"/>
      <c r="K16"/>
      <c r="L16" s="34"/>
      <c r="M16"/>
      <c r="N16" s="4"/>
    </row>
    <row r="17" spans="2:14">
      <c r="B17" s="6" t="s">
        <v>22</v>
      </c>
      <c r="C17"/>
      <c r="D17"/>
      <c r="E17"/>
      <c r="F17"/>
      <c r="G17"/>
      <c r="H17"/>
      <c r="I17"/>
      <c r="J17"/>
      <c r="K17"/>
      <c r="L17" s="34"/>
      <c r="M17"/>
      <c r="N17" s="4"/>
    </row>
    <row r="18" spans="2:14">
      <c r="C18"/>
      <c r="D18"/>
      <c r="E18"/>
      <c r="F18"/>
      <c r="G18"/>
      <c r="H18"/>
      <c r="I18"/>
      <c r="J18"/>
      <c r="K18"/>
      <c r="L18" s="34"/>
      <c r="M18"/>
      <c r="N18" s="4"/>
    </row>
    <row r="19" spans="2:14">
      <c r="B19" s="6" t="s">
        <v>23</v>
      </c>
      <c r="C19"/>
      <c r="D19"/>
      <c r="E19"/>
      <c r="F19"/>
      <c r="G19"/>
      <c r="H19"/>
      <c r="I19"/>
      <c r="J19"/>
      <c r="K19"/>
      <c r="L19" s="34"/>
      <c r="M19"/>
      <c r="N19" s="4"/>
    </row>
    <row r="20" spans="2:14">
      <c r="C20"/>
      <c r="D20"/>
      <c r="E20"/>
      <c r="F20"/>
      <c r="G20"/>
      <c r="H20"/>
      <c r="I20"/>
      <c r="J20"/>
      <c r="K20"/>
      <c r="L20" s="34"/>
      <c r="M20"/>
      <c r="N20" s="4"/>
    </row>
    <row r="21" spans="2:14">
      <c r="B21" s="6" t="s">
        <v>24</v>
      </c>
      <c r="C21"/>
      <c r="D21"/>
      <c r="E21"/>
      <c r="F21"/>
      <c r="G21"/>
      <c r="H21"/>
      <c r="I21"/>
      <c r="J21"/>
      <c r="K21"/>
      <c r="L21" s="34"/>
      <c r="M21"/>
      <c r="N21" s="4"/>
    </row>
    <row r="22" spans="2:14">
      <c r="C22"/>
      <c r="D22"/>
      <c r="E22"/>
      <c r="F22"/>
      <c r="G22"/>
      <c r="H22"/>
      <c r="I22"/>
      <c r="J22"/>
      <c r="K22"/>
      <c r="L22" s="34"/>
      <c r="M22"/>
      <c r="N22" s="4"/>
    </row>
    <row r="23" spans="2:14">
      <c r="C23"/>
      <c r="D23"/>
      <c r="E23"/>
      <c r="F23"/>
      <c r="G23"/>
      <c r="H23"/>
      <c r="I23"/>
      <c r="J23"/>
      <c r="K23"/>
      <c r="L23" s="34"/>
      <c r="M23"/>
      <c r="N23" s="4"/>
    </row>
    <row r="24" spans="2:14">
      <c r="C24"/>
      <c r="D24"/>
      <c r="E24"/>
      <c r="F24"/>
      <c r="G24"/>
      <c r="H24"/>
      <c r="I24"/>
      <c r="J24"/>
      <c r="K24"/>
      <c r="L24" s="34"/>
      <c r="M24"/>
      <c r="N24" s="4"/>
    </row>
    <row r="25" spans="2:14">
      <c r="C25"/>
      <c r="D25"/>
      <c r="E25"/>
      <c r="F25"/>
      <c r="G25"/>
      <c r="H25"/>
      <c r="I25"/>
      <c r="J25"/>
      <c r="K25"/>
      <c r="L25" s="34"/>
      <c r="M25"/>
      <c r="N25" s="4"/>
    </row>
    <row r="26" spans="2:14">
      <c r="C26"/>
      <c r="D26"/>
      <c r="E26"/>
      <c r="F26"/>
      <c r="G26"/>
      <c r="H26"/>
      <c r="I26"/>
      <c r="J26"/>
      <c r="K26"/>
      <c r="L26" s="34"/>
      <c r="M26"/>
      <c r="N26" s="4"/>
    </row>
    <row r="27" spans="2:14">
      <c r="C27"/>
      <c r="D27"/>
      <c r="E27"/>
      <c r="F27"/>
      <c r="G27"/>
      <c r="H27"/>
      <c r="I27"/>
      <c r="J27"/>
      <c r="K27"/>
      <c r="L27" s="34"/>
      <c r="M27"/>
      <c r="N27" s="4"/>
    </row>
    <row r="28" spans="2:14">
      <c r="C28"/>
      <c r="D28"/>
      <c r="E28"/>
      <c r="F28"/>
      <c r="G28"/>
      <c r="H28"/>
      <c r="I28"/>
      <c r="J28"/>
      <c r="K28"/>
      <c r="L28" s="34"/>
      <c r="M28"/>
      <c r="N28" s="4"/>
    </row>
    <row r="29" spans="2:14">
      <c r="C29"/>
      <c r="D29"/>
      <c r="E29"/>
      <c r="F29"/>
      <c r="G29"/>
      <c r="H29"/>
      <c r="I29"/>
      <c r="J29"/>
      <c r="K29"/>
      <c r="L29" s="34"/>
      <c r="M29"/>
      <c r="N29" s="4"/>
    </row>
    <row r="30" spans="2:14">
      <c r="C30"/>
      <c r="D30"/>
      <c r="E30"/>
      <c r="F30"/>
      <c r="G30"/>
      <c r="H30"/>
      <c r="I30"/>
      <c r="J30"/>
      <c r="K30"/>
      <c r="L30" s="34"/>
      <c r="M30"/>
      <c r="N30" s="4"/>
    </row>
    <row r="31" spans="2:14">
      <c r="C31"/>
      <c r="D31"/>
      <c r="E31"/>
      <c r="F31"/>
      <c r="G31"/>
      <c r="H31"/>
      <c r="I31"/>
      <c r="J31"/>
      <c r="K31"/>
      <c r="L31" s="34"/>
      <c r="M31"/>
      <c r="N31" s="4"/>
    </row>
    <row r="32" spans="2:14">
      <c r="C32"/>
      <c r="D32"/>
      <c r="E32"/>
      <c r="F32"/>
      <c r="G32"/>
      <c r="H32"/>
      <c r="I32"/>
      <c r="J32"/>
      <c r="K32"/>
      <c r="L32" s="34"/>
      <c r="M32"/>
      <c r="N32" s="4"/>
    </row>
    <row r="33" spans="3:14">
      <c r="C33"/>
      <c r="D33"/>
      <c r="E33"/>
      <c r="F33"/>
      <c r="G33"/>
      <c r="H33"/>
      <c r="I33"/>
      <c r="J33"/>
      <c r="K33"/>
      <c r="L33" s="34"/>
      <c r="M33"/>
      <c r="N33" s="4"/>
    </row>
    <row r="34" spans="3:14">
      <c r="C34"/>
      <c r="D34"/>
      <c r="E34"/>
      <c r="F34"/>
      <c r="G34"/>
      <c r="H34"/>
      <c r="I34"/>
      <c r="J34"/>
      <c r="K34"/>
      <c r="L34" s="34"/>
      <c r="M34"/>
      <c r="N34" s="4"/>
    </row>
    <row r="35" spans="3:14">
      <c r="C35"/>
      <c r="D35"/>
      <c r="E35"/>
      <c r="F35"/>
      <c r="G35"/>
      <c r="H35"/>
      <c r="I35"/>
      <c r="J35"/>
      <c r="K35"/>
      <c r="L35" s="34"/>
      <c r="M35"/>
      <c r="N35" s="4"/>
    </row>
    <row r="36" spans="3:14">
      <c r="C36"/>
      <c r="D36"/>
      <c r="E36"/>
      <c r="F36"/>
      <c r="G36"/>
      <c r="H36"/>
      <c r="I36"/>
      <c r="J36"/>
      <c r="K36"/>
      <c r="L36" s="34"/>
      <c r="M36"/>
      <c r="N36" s="4"/>
    </row>
    <row r="37" spans="3:14">
      <c r="C37"/>
      <c r="D37"/>
      <c r="E37"/>
      <c r="F37"/>
      <c r="G37"/>
      <c r="H37"/>
      <c r="I37"/>
      <c r="J37"/>
      <c r="K37"/>
      <c r="L37" s="34"/>
      <c r="M37"/>
      <c r="N37" s="4"/>
    </row>
    <row r="38" spans="3:14">
      <c r="C38"/>
      <c r="D38"/>
      <c r="E38"/>
      <c r="F38"/>
      <c r="G38"/>
      <c r="H38"/>
      <c r="I38"/>
      <c r="J38"/>
      <c r="K38"/>
      <c r="L38" s="34"/>
      <c r="M38"/>
      <c r="N38" s="4"/>
    </row>
    <row r="39" spans="3:14">
      <c r="C39"/>
      <c r="D39"/>
      <c r="E39"/>
      <c r="F39"/>
      <c r="G39"/>
      <c r="H39"/>
      <c r="I39"/>
      <c r="J39"/>
      <c r="K39"/>
      <c r="L39" s="34"/>
      <c r="M39"/>
      <c r="N39" s="4"/>
    </row>
    <row r="40" spans="3:14">
      <c r="C40"/>
      <c r="D40"/>
      <c r="E40"/>
      <c r="F40"/>
      <c r="G40"/>
      <c r="H40"/>
      <c r="I40"/>
      <c r="J40"/>
      <c r="K40"/>
      <c r="L40" s="34"/>
      <c r="M40"/>
      <c r="N40" s="4"/>
    </row>
    <row r="41" spans="3:14">
      <c r="C41"/>
      <c r="D41"/>
      <c r="E41"/>
      <c r="F41"/>
      <c r="G41"/>
      <c r="H41"/>
      <c r="I41"/>
      <c r="J41"/>
      <c r="K41"/>
      <c r="L41" s="34"/>
      <c r="M41"/>
      <c r="N41" s="4"/>
    </row>
    <row r="42" spans="3:14">
      <c r="C42"/>
      <c r="D42"/>
      <c r="E42"/>
      <c r="F42"/>
      <c r="G42"/>
      <c r="H42"/>
      <c r="I42"/>
      <c r="J42"/>
      <c r="K42"/>
      <c r="L42" s="34"/>
      <c r="M42"/>
      <c r="N42" s="4"/>
    </row>
    <row r="43" spans="3:14">
      <c r="C43"/>
      <c r="D43"/>
      <c r="E43"/>
      <c r="F43"/>
      <c r="G43"/>
      <c r="H43"/>
      <c r="I43"/>
      <c r="J43"/>
      <c r="K43"/>
      <c r="L43" s="34"/>
      <c r="M43"/>
      <c r="N43" s="4"/>
    </row>
    <row r="44" spans="3:14">
      <c r="C44"/>
      <c r="D44"/>
      <c r="E44"/>
      <c r="F44"/>
      <c r="G44"/>
      <c r="H44"/>
      <c r="I44"/>
      <c r="J44"/>
      <c r="K44"/>
      <c r="L44" s="34"/>
      <c r="M44"/>
      <c r="N44" s="4"/>
    </row>
    <row r="45" spans="3:14">
      <c r="C45"/>
      <c r="D45"/>
      <c r="E45"/>
      <c r="F45"/>
      <c r="G45"/>
      <c r="H45"/>
      <c r="I45"/>
      <c r="J45"/>
      <c r="K45"/>
      <c r="L45" s="34"/>
      <c r="M45"/>
      <c r="N45" s="4"/>
    </row>
    <row r="46" spans="3:14">
      <c r="C46"/>
      <c r="D46"/>
      <c r="E46"/>
      <c r="F46"/>
      <c r="G46"/>
      <c r="H46"/>
      <c r="I46"/>
      <c r="J46"/>
      <c r="K46"/>
      <c r="L46" s="34"/>
      <c r="M46"/>
      <c r="N46" s="4"/>
    </row>
    <row r="47" spans="3:14">
      <c r="C47"/>
      <c r="D47"/>
      <c r="E47"/>
      <c r="F47"/>
      <c r="G47"/>
      <c r="H47"/>
      <c r="I47"/>
      <c r="J47"/>
      <c r="K47"/>
      <c r="L47" s="34"/>
      <c r="M47"/>
      <c r="N47" s="4"/>
    </row>
    <row r="48" spans="3:14">
      <c r="C48"/>
      <c r="D48"/>
      <c r="E48"/>
      <c r="F48"/>
      <c r="G48"/>
      <c r="H48"/>
      <c r="I48"/>
      <c r="J48"/>
      <c r="K48"/>
      <c r="L48" s="34"/>
      <c r="M48"/>
      <c r="N48" s="4"/>
    </row>
    <row r="49" spans="3:14">
      <c r="C49"/>
      <c r="D49"/>
      <c r="E49"/>
      <c r="F49"/>
      <c r="G49"/>
      <c r="H49"/>
      <c r="I49"/>
      <c r="J49"/>
      <c r="K49"/>
      <c r="L49" s="34"/>
      <c r="M49"/>
      <c r="N49" s="4"/>
    </row>
    <row r="50" spans="3:14">
      <c r="C50"/>
      <c r="D50"/>
      <c r="E50"/>
      <c r="F50"/>
      <c r="G50"/>
      <c r="H50"/>
      <c r="I50"/>
      <c r="J50"/>
      <c r="K50"/>
      <c r="L50" s="34"/>
      <c r="M50"/>
      <c r="N50" s="4"/>
    </row>
  </sheetData>
  <mergeCells count="1">
    <mergeCell ref="R2:W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18</xdr:col>
                    <xdr:colOff>53340</xdr:colOff>
                    <xdr:row>10</xdr:row>
                    <xdr:rowOff>0</xdr:rowOff>
                  </from>
                  <to>
                    <xdr:col>19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DEMO</vt:lpstr>
      <vt:lpstr>数据</vt:lpstr>
      <vt:lpstr>输出结果</vt:lpstr>
      <vt:lpstr>转置后数据</vt:lpstr>
      <vt:lpstr>合并结果</vt:lpstr>
      <vt:lpstr>显著性提取</vt:lpstr>
      <vt:lpstr>显著性格式整理</vt:lpstr>
      <vt:lpstr>微生物的计算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JiangZJ</dc:creator>
  <cp:lastModifiedBy>Zhaojing Jiang</cp:lastModifiedBy>
  <dcterms:created xsi:type="dcterms:W3CDTF">2020-02-22T07:29:27Z</dcterms:created>
  <dcterms:modified xsi:type="dcterms:W3CDTF">2022-05-03T14:53:10Z</dcterms:modified>
</cp:coreProperties>
</file>